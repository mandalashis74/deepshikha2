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5347fadc9be86b/Documents/MaintApp/MaintApp/maintainance ^0 expenditure/"/>
    </mc:Choice>
  </mc:AlternateContent>
  <xr:revisionPtr revIDLastSave="35" documentId="13_ncr:1_{84E53382-A171-4EBB-97C4-844A4882A8A0}" xr6:coauthVersionLast="47" xr6:coauthVersionMax="47" xr10:uidLastSave="{91A8EAA9-EB50-400E-B797-49339A8F46F5}"/>
  <bookViews>
    <workbookView xWindow="-120" yWindow="-120" windowWidth="29040" windowHeight="15720" xr2:uid="{00000000-000D-0000-FFFF-FFFF00000000}"/>
  </bookViews>
  <sheets>
    <sheet name="Details MC" sheetId="5" r:id="rId1"/>
    <sheet name="Details MC1 " sheetId="1" r:id="rId2"/>
    <sheet name="Month wise MC" sheetId="2" r:id="rId3"/>
    <sheet name="EXPENSES" sheetId="3" r:id="rId4"/>
    <sheet name="Income and Expenses" sheetId="4" r:id="rId5"/>
  </sheets>
  <definedNames>
    <definedName name="_xlnm._FilterDatabase" localSheetId="0" hidden="1">'Details MC'!$A$5:$G$636</definedName>
    <definedName name="_xlnm.Print_Area" localSheetId="1">'Details MC1 '!$A$1:$AC$81</definedName>
    <definedName name="_xlnm.Print_Area" localSheetId="3">EXPENSES!$A$1:$BA$20</definedName>
    <definedName name="_xlnm.Print_Area" localSheetId="2">'Month wise MC'!$A$1:$D$17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8" i="5" l="1"/>
  <c r="F275" i="5"/>
  <c r="F277" i="5"/>
  <c r="F324" i="5"/>
  <c r="F326" i="5"/>
  <c r="F371" i="5"/>
  <c r="F373" i="5"/>
  <c r="F417" i="5"/>
  <c r="F419" i="5"/>
  <c r="F462" i="5"/>
  <c r="F464" i="5"/>
  <c r="F507" i="5"/>
  <c r="F509" i="5"/>
  <c r="F552" i="5"/>
  <c r="F554" i="5"/>
  <c r="F596" i="5"/>
  <c r="F598" i="5"/>
  <c r="E17" i="4"/>
  <c r="AX20" i="3"/>
  <c r="AT9" i="3"/>
  <c r="AT18" i="3"/>
  <c r="AT6" i="3"/>
  <c r="AP9" i="3"/>
  <c r="E15" i="4"/>
  <c r="AP17" i="3"/>
  <c r="AL20" i="3"/>
  <c r="E14" i="4"/>
  <c r="C14" i="4"/>
  <c r="C15" i="4"/>
  <c r="C16" i="4"/>
  <c r="C17" i="2"/>
  <c r="C17" i="4" s="1"/>
  <c r="C16" i="2"/>
  <c r="C15" i="2"/>
  <c r="AG78" i="1"/>
  <c r="AF14" i="1"/>
  <c r="AF11" i="1"/>
  <c r="AF78" i="1" s="1"/>
  <c r="AE78" i="1"/>
  <c r="AD78" i="1"/>
  <c r="AD14" i="1"/>
  <c r="AD11" i="1"/>
  <c r="AL18" i="3"/>
  <c r="AB14" i="1"/>
  <c r="AB11" i="1"/>
  <c r="Z11" i="1"/>
  <c r="AD9" i="3"/>
  <c r="AD8" i="3"/>
  <c r="E13" i="4"/>
  <c r="Z14" i="1"/>
  <c r="X14" i="1"/>
  <c r="V14" i="1"/>
  <c r="X11" i="1"/>
  <c r="V11" i="1"/>
  <c r="T11" i="1"/>
  <c r="E11" i="4"/>
  <c r="E10" i="4"/>
  <c r="T14" i="1"/>
  <c r="R14" i="1"/>
  <c r="R11" i="1"/>
  <c r="E7" i="4"/>
  <c r="E5" i="4"/>
  <c r="E9" i="4"/>
  <c r="E8" i="4"/>
  <c r="L9" i="1"/>
  <c r="H7" i="3"/>
  <c r="E16" i="4" l="1"/>
  <c r="E18" i="4"/>
  <c r="E12" i="4"/>
  <c r="E6" i="4"/>
  <c r="E4" i="4"/>
  <c r="H78" i="1"/>
  <c r="C5" i="2" s="1"/>
  <c r="C5" i="4" s="1"/>
  <c r="J78" i="1"/>
  <c r="C6" i="2" s="1"/>
  <c r="C6" i="4" s="1"/>
  <c r="L78" i="1"/>
  <c r="C7" i="2" s="1"/>
  <c r="C7" i="4" s="1"/>
  <c r="N78" i="1"/>
  <c r="C8" i="2" s="1"/>
  <c r="C8" i="4" s="1"/>
  <c r="P78" i="1"/>
  <c r="C9" i="2" s="1"/>
  <c r="C9" i="4" s="1"/>
  <c r="R78" i="1"/>
  <c r="T78" i="1"/>
  <c r="V78" i="1"/>
  <c r="C12" i="2" s="1"/>
  <c r="C12" i="4" s="1"/>
  <c r="X78" i="1"/>
  <c r="C13" i="2" s="1"/>
  <c r="C13" i="4" s="1"/>
  <c r="Z78" i="1"/>
  <c r="C14" i="2" s="1"/>
  <c r="AA78" i="1"/>
  <c r="AB78" i="1"/>
  <c r="AC78" i="1"/>
  <c r="AH78" i="1"/>
  <c r="F78" i="1"/>
  <c r="C4" i="2" s="1"/>
  <c r="C4" i="4" s="1"/>
  <c r="C11" i="2" l="1"/>
  <c r="C11" i="4" s="1"/>
  <c r="F81" i="1"/>
  <c r="C10" i="2"/>
  <c r="C10" i="4" s="1"/>
  <c r="F4" i="4"/>
  <c r="D5" i="4" s="1"/>
  <c r="F5" i="4" s="1"/>
  <c r="D6" i="4" s="1"/>
  <c r="F6" i="4" s="1"/>
  <c r="D7" i="4" s="1"/>
  <c r="F7" i="4" s="1"/>
  <c r="D8" i="4" s="1"/>
  <c r="D4" i="4"/>
  <c r="D18" i="4" l="1"/>
  <c r="C18" i="4"/>
  <c r="F8" i="4"/>
  <c r="D9" i="4" s="1"/>
  <c r="F9" i="4" s="1"/>
  <c r="D10" i="4" s="1"/>
  <c r="F10" i="4" s="1"/>
  <c r="D11" i="4" s="1"/>
  <c r="F11" i="4" s="1"/>
  <c r="D12" i="4" s="1"/>
  <c r="F12" i="4" l="1"/>
  <c r="D13" i="4" s="1"/>
  <c r="F13" i="4" s="1"/>
  <c r="D14" i="4" s="1"/>
  <c r="F14" i="4" s="1"/>
  <c r="D15" i="4" s="1"/>
  <c r="F15" i="4" s="1"/>
  <c r="D16" i="4" s="1"/>
  <c r="F16" i="4" s="1"/>
  <c r="D17" i="4" s="1"/>
  <c r="F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SABIR AHAMMED</author>
    <author>tc={D5A5E3BB-2F64-4FE7-A9BA-76877F600855}</author>
    <author>tc={1FDFB717-2ECC-48D9-9308-CF8C3EE7FC29}</author>
    <author>tc={1C3F1959-D1C3-42CC-90DC-294EEE9B41FE}</author>
    <author>tc={670B99F1-5A10-4E86-9A9B-1F4051A4B78F}</author>
  </authors>
  <commentList>
    <comment ref="F138" authorId="0" shapeId="0" xr:uid="{85D31251-359C-45DD-B44C-E05A9E36E8EB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  <comment ref="F271" authorId="1" shapeId="0" xr:uid="{D5A5E3BB-2F64-4FE7-A9BA-76877F600855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20" authorId="2" shapeId="0" xr:uid="{1FDFB717-2ECC-48D9-9308-CF8C3EE7FC29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67" authorId="3" shapeId="0" xr:uid="{1C3F1959-D1C3-42CC-90DC-294EEE9B41FE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414" authorId="4" shapeId="0" xr:uid="{670B99F1-5A10-4E86-9A9B-1F4051A4B78F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tc={9CC29A30-9507-4B8C-9111-ED98EC4BA602}</author>
    <author>tc={40440B97-6B7D-42C7-8538-10C04330F227}</author>
    <author>tc={43FCA51E-B18F-41D5-BE72-62BCDD2FBE8B}</author>
    <author>tc={D75D2CAA-C58D-4CBA-8F78-213BE26AA156}</author>
    <author>SABIR AHAMMED</author>
  </authors>
  <commentList>
    <comment ref="R7" authorId="0" shapeId="0" xr:uid="{9CC29A30-9507-4B8C-9111-ED98EC4BA60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T7" authorId="1" shapeId="0" xr:uid="{40440B97-6B7D-42C7-8538-10C04330F22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V7" authorId="2" shapeId="0" xr:uid="{43FCA51E-B18F-41D5-BE72-62BCDD2FBE8B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X7" authorId="3" shapeId="0" xr:uid="{D75D2CAA-C58D-4CBA-8F78-213BE26AA156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L9" authorId="4" shapeId="0" xr:uid="{96D11754-0021-41E5-910A-3C0065A8E70F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</commentList>
</comments>
</file>

<file path=xl/sharedStrings.xml><?xml version="1.0" encoding="utf-8"?>
<sst xmlns="http://schemas.openxmlformats.org/spreadsheetml/2006/main" count="1661" uniqueCount="245">
  <si>
    <t>Dr. Narendranath Pal</t>
  </si>
  <si>
    <t>Sourav Kundu</t>
  </si>
  <si>
    <t>8H</t>
  </si>
  <si>
    <t>Total</t>
  </si>
  <si>
    <t>2nd Floor</t>
  </si>
  <si>
    <t>1st Floor</t>
  </si>
  <si>
    <t>3rd Floor</t>
  </si>
  <si>
    <t>4th Floor</t>
  </si>
  <si>
    <t>5th Floor</t>
  </si>
  <si>
    <t>6th Floor</t>
  </si>
  <si>
    <t>7th Floor</t>
  </si>
  <si>
    <t>8th Floor</t>
  </si>
  <si>
    <t>Sl. No.</t>
  </si>
  <si>
    <t>Name</t>
  </si>
  <si>
    <t>Flat No.</t>
  </si>
  <si>
    <t>Mobile No.</t>
  </si>
  <si>
    <t>REMARKS</t>
  </si>
  <si>
    <t>Collection of Maintainance Charge (Tower-II) (Flat wise)-2025/26</t>
  </si>
  <si>
    <t>Amount</t>
  </si>
  <si>
    <t>Date</t>
  </si>
  <si>
    <t>Deepsikha Office</t>
  </si>
  <si>
    <t xml:space="preserve">All Total </t>
  </si>
  <si>
    <t>ALL Months received Amount</t>
  </si>
  <si>
    <t>Room Type</t>
  </si>
  <si>
    <t>2+3</t>
  </si>
  <si>
    <t>3+2</t>
  </si>
  <si>
    <t>Sishir Singha</t>
  </si>
  <si>
    <t>1A</t>
  </si>
  <si>
    <t>Mrinmoy Choudhuri</t>
  </si>
  <si>
    <t>1B</t>
  </si>
  <si>
    <t>Nibedita Uppadhyay</t>
  </si>
  <si>
    <t>1C</t>
  </si>
  <si>
    <t>1D</t>
  </si>
  <si>
    <t>Arup Kr. Bandapadhya</t>
  </si>
  <si>
    <t>1E</t>
  </si>
  <si>
    <t>Dr. Rajkumar Sangiri</t>
  </si>
  <si>
    <t>1F+1H</t>
  </si>
  <si>
    <t>1G</t>
  </si>
  <si>
    <t>2A+2C</t>
  </si>
  <si>
    <t>Rahul Kundu</t>
  </si>
  <si>
    <t>2B</t>
  </si>
  <si>
    <t>2D</t>
  </si>
  <si>
    <t>Manju Khan</t>
  </si>
  <si>
    <t>2E</t>
  </si>
  <si>
    <t>Madhusudan Dutta</t>
  </si>
  <si>
    <t>2F</t>
  </si>
  <si>
    <t>Amrita Patranabish</t>
  </si>
  <si>
    <t>2G</t>
  </si>
  <si>
    <t>2H</t>
  </si>
  <si>
    <t>Banashree Mishra</t>
  </si>
  <si>
    <t>3A</t>
  </si>
  <si>
    <t>Sudipta Sankar Saren</t>
  </si>
  <si>
    <t>3B</t>
  </si>
  <si>
    <t>Paresh Das</t>
  </si>
  <si>
    <t>3C</t>
  </si>
  <si>
    <t>3D</t>
  </si>
  <si>
    <t>3E</t>
  </si>
  <si>
    <t>Haimanti Goswami</t>
  </si>
  <si>
    <t>3F</t>
  </si>
  <si>
    <t>Sajal Kr. Benarjee</t>
  </si>
  <si>
    <t>3G</t>
  </si>
  <si>
    <t>Bulti Dey</t>
  </si>
  <si>
    <t>3H</t>
  </si>
  <si>
    <t>Mrinmoy Mandal</t>
  </si>
  <si>
    <t>4A</t>
  </si>
  <si>
    <t>Dr. Ajit Kr. Ganguli</t>
  </si>
  <si>
    <t>4B</t>
  </si>
  <si>
    <t>Ardhendu Sinha Mahapatra</t>
  </si>
  <si>
    <t>4C</t>
  </si>
  <si>
    <t>4D</t>
  </si>
  <si>
    <t>Asmita Batabal</t>
  </si>
  <si>
    <t>4E</t>
  </si>
  <si>
    <t>Deepa Haldar</t>
  </si>
  <si>
    <t>4F</t>
  </si>
  <si>
    <t>Goutam Karmakar</t>
  </si>
  <si>
    <t>4G</t>
  </si>
  <si>
    <t>Diptendu Mohanty</t>
  </si>
  <si>
    <t>4H</t>
  </si>
  <si>
    <t>Susanta Kr. Sheet</t>
  </si>
  <si>
    <t>5A</t>
  </si>
  <si>
    <t>5B</t>
  </si>
  <si>
    <t>Ujjal Roy</t>
  </si>
  <si>
    <t>5C</t>
  </si>
  <si>
    <t>Krishna Sinha</t>
  </si>
  <si>
    <t>5D</t>
  </si>
  <si>
    <t>Anita Lo Saha</t>
  </si>
  <si>
    <t>5E+5G</t>
  </si>
  <si>
    <t>Sangita Roy</t>
  </si>
  <si>
    <t>5F</t>
  </si>
  <si>
    <t>Sudipta Das</t>
  </si>
  <si>
    <t>5H</t>
  </si>
  <si>
    <t>Sanjay Sengupta</t>
  </si>
  <si>
    <t>6A</t>
  </si>
  <si>
    <t>Jhuma Mandal</t>
  </si>
  <si>
    <t>6B</t>
  </si>
  <si>
    <t>Shantanu Ganguli</t>
  </si>
  <si>
    <t>6C</t>
  </si>
  <si>
    <t>6D</t>
  </si>
  <si>
    <t>Sutapa Dana</t>
  </si>
  <si>
    <t>6E</t>
  </si>
  <si>
    <t>6F</t>
  </si>
  <si>
    <t>6G</t>
  </si>
  <si>
    <t>6H</t>
  </si>
  <si>
    <t>Dr. Arup Guha</t>
  </si>
  <si>
    <t>7A</t>
  </si>
  <si>
    <t>Manoj Kr. Dutta</t>
  </si>
  <si>
    <t>7B</t>
  </si>
  <si>
    <t>7C</t>
  </si>
  <si>
    <t>7D</t>
  </si>
  <si>
    <t>Sabir Ahammed</t>
  </si>
  <si>
    <t>7E</t>
  </si>
  <si>
    <t>Debasish Paramanik</t>
  </si>
  <si>
    <t>7F</t>
  </si>
  <si>
    <t>Priyanka Bandopadhyaya</t>
  </si>
  <si>
    <t>7G</t>
  </si>
  <si>
    <t>7H</t>
  </si>
  <si>
    <t>8A</t>
  </si>
  <si>
    <t>8B</t>
  </si>
  <si>
    <t>8C</t>
  </si>
  <si>
    <t>8D</t>
  </si>
  <si>
    <t>Sourav Mahanty</t>
  </si>
  <si>
    <t>8E</t>
  </si>
  <si>
    <t>Mantu Das</t>
  </si>
  <si>
    <t>8F</t>
  </si>
  <si>
    <t>Utpal Badyakar</t>
  </si>
  <si>
    <t>8G</t>
  </si>
  <si>
    <r>
      <rPr>
        <sz val="18"/>
        <rFont val="Times New Roman"/>
        <family val="1"/>
      </rPr>
      <t>7858953308
9835066060</t>
    </r>
  </si>
  <si>
    <t>2BHK Rs. 1200 &amp; 3 BHK Rs.1500 w.e.f 0ctober 2025</t>
  </si>
  <si>
    <t>Month</t>
  </si>
  <si>
    <t>Sl No.</t>
  </si>
  <si>
    <t>2BHK Rs. 1000 &amp; 3 BHK Rs.1200 w.e.f June 2025</t>
  </si>
  <si>
    <t>2BHK Rs. 1200 &amp; 3 BHK Rs.1200 w.e.f April 2025</t>
  </si>
  <si>
    <t>Mintu Sk</t>
  </si>
  <si>
    <t>Omprakash</t>
  </si>
  <si>
    <t>Deb Kumar Mondal</t>
  </si>
  <si>
    <t>Nabin Chandra Das</t>
  </si>
  <si>
    <t>Shrabanti Sil Dhalla</t>
  </si>
  <si>
    <t>Soumen Patra</t>
  </si>
  <si>
    <t>Registration on 30/6/25</t>
  </si>
  <si>
    <t>Registration on 14/8/25</t>
  </si>
  <si>
    <t>EXPENSES APRIL'2025 TO AUGUST '2025 (Block - 2)</t>
  </si>
  <si>
    <t>Sr. No.</t>
  </si>
  <si>
    <t>Description</t>
  </si>
  <si>
    <t>April'25</t>
  </si>
  <si>
    <t>May'25</t>
  </si>
  <si>
    <t>June'25</t>
  </si>
  <si>
    <t>July'25</t>
  </si>
  <si>
    <t>August'25</t>
  </si>
  <si>
    <t>Remarks</t>
  </si>
  <si>
    <t xml:space="preserve">Amount </t>
  </si>
  <si>
    <t>Dt of Payment</t>
  </si>
  <si>
    <t>Cleaning Charges of Floors within Building (House Keeping) Paid on</t>
  </si>
  <si>
    <t xml:space="preserve">Cleaning Charges of VAT by takening form Residency to nearest Municipality Vat paid on </t>
  </si>
  <si>
    <t xml:space="preserve">WBSEDCL Electric Bill </t>
  </si>
  <si>
    <t>Rs 226/- paid to Gabinda due to off line payment during June'25</t>
  </si>
  <si>
    <t xml:space="preserve">Diesel for Digi Set with carriage on </t>
  </si>
  <si>
    <t>Miscellaneous Consumables &amp; Equipments for cleaning purpose</t>
  </si>
  <si>
    <t>Brash &amp; Paint</t>
  </si>
  <si>
    <t>Floor Cleaner</t>
  </si>
  <si>
    <t>CCTV Camera</t>
  </si>
  <si>
    <t xml:space="preserve">Meeting purpose </t>
  </si>
  <si>
    <t>2 Nos Iron Gate for Ground Floor</t>
  </si>
  <si>
    <t>Lock and Key</t>
  </si>
  <si>
    <t>Stationery Items for Official Purpose</t>
  </si>
  <si>
    <t xml:space="preserve">Sl No </t>
  </si>
  <si>
    <t xml:space="preserve">Month </t>
  </si>
  <si>
    <t>Expenses</t>
  </si>
  <si>
    <t>Income from MC</t>
  </si>
  <si>
    <t>September'25</t>
  </si>
  <si>
    <t>Collection of Maintainance Charge (Tower-II) (Month wise)-2025/26</t>
  </si>
  <si>
    <t>Voucher No</t>
  </si>
  <si>
    <t>Security Guard 2 Person</t>
  </si>
  <si>
    <t>2 pcs Jharu</t>
  </si>
  <si>
    <t>10 Ltr Phinile</t>
  </si>
  <si>
    <t>Total Income
 ( MC + Balance)</t>
  </si>
  <si>
    <t xml:space="preserve">Miscellaneous </t>
  </si>
  <si>
    <t>4 Ltr Phinile</t>
  </si>
  <si>
    <t>15 August celebration cost and common meal (533 +1004)</t>
  </si>
  <si>
    <t>Income and Expenses Details April -25 Onwards</t>
  </si>
  <si>
    <t>Balance during the month</t>
  </si>
  <si>
    <t>Paid to Amaresh for Pump operating at night.</t>
  </si>
  <si>
    <t>Shanti Da Grill</t>
  </si>
  <si>
    <t>October'25</t>
  </si>
  <si>
    <t>Nemyle</t>
  </si>
  <si>
    <t>floor Mop</t>
  </si>
  <si>
    <t>Tea Biscuits</t>
  </si>
  <si>
    <t>2 nos. Neelkamal dustbin120 Ltr</t>
  </si>
  <si>
    <t>November'25</t>
  </si>
  <si>
    <t>December'25</t>
  </si>
  <si>
    <t>S G</t>
  </si>
  <si>
    <t>JANUARY'26</t>
  </si>
  <si>
    <t>7.11.25</t>
  </si>
  <si>
    <t>UPI</t>
  </si>
  <si>
    <t>5.11.25</t>
  </si>
  <si>
    <t>15.11.25</t>
  </si>
  <si>
    <t>Xerox</t>
  </si>
  <si>
    <t>Comminuty hall</t>
  </si>
  <si>
    <t>Diwali light decoration</t>
  </si>
  <si>
    <t>10.12.25</t>
  </si>
  <si>
    <t>1 security join from November</t>
  </si>
  <si>
    <t>13.12.25</t>
  </si>
  <si>
    <t>5.12.25</t>
  </si>
  <si>
    <t>17.12.25</t>
  </si>
  <si>
    <t>1800 paid on 9.12.25
5194 paid om 11.12.25</t>
  </si>
  <si>
    <t>9.12.25
11.12.25</t>
  </si>
  <si>
    <t>16.12.25
3.12.25</t>
  </si>
  <si>
    <t>2 time purchase Nemyle</t>
  </si>
  <si>
    <t>6.12.25</t>
  </si>
  <si>
    <t>11.1.26</t>
  </si>
  <si>
    <t>DG Service charge</t>
  </si>
  <si>
    <t xml:space="preserve"> 2 Pcs 
Jharu 
floor Mop 1pc</t>
  </si>
  <si>
    <t>Floor cleaning Acid &amp; others</t>
  </si>
  <si>
    <t>31.12.25</t>
  </si>
  <si>
    <t xml:space="preserve">Pay to Karan for cleaning </t>
  </si>
  <si>
    <t xml:space="preserve">2 pcs Nilkamal chair </t>
  </si>
  <si>
    <t>February'26</t>
  </si>
  <si>
    <t>March'26</t>
  </si>
  <si>
    <t>chair&amp; Table 24*6</t>
  </si>
  <si>
    <t>Demise of Bapi's Dad</t>
  </si>
  <si>
    <t>Construction &amp; Maintainance</t>
  </si>
  <si>
    <t>Floor Tiles under Starecase</t>
  </si>
  <si>
    <t>2Pcs 
Jharu &amp;
floor Mop 1pc</t>
  </si>
  <si>
    <t>Floor cleaning Acid Collin</t>
  </si>
  <si>
    <t>advance 500</t>
  </si>
  <si>
    <t>80 Ltr Disel</t>
  </si>
  <si>
    <t>Satranji</t>
  </si>
  <si>
    <t>April'26</t>
  </si>
  <si>
    <t>May'26</t>
  </si>
  <si>
    <t>3 security guards</t>
  </si>
  <si>
    <t>3 Persons</t>
  </si>
  <si>
    <t xml:space="preserve">Cement Sand Labour Charge . </t>
  </si>
  <si>
    <t>Women Day celebration (pen-900+ Cadbery-1170)</t>
  </si>
  <si>
    <t xml:space="preserve">Induction oven </t>
  </si>
  <si>
    <t>Phnyle</t>
  </si>
  <si>
    <t>Phnyle 10 Ltr</t>
  </si>
  <si>
    <t>Stand Fan</t>
  </si>
  <si>
    <t>1500 for vat cleaning and 1000 for drain .</t>
  </si>
  <si>
    <t>2 Jharu &amp; 1 Floor Mop</t>
  </si>
  <si>
    <t>Plumbing meterials for 2 nos water point</t>
  </si>
  <si>
    <t>1000 paid as advance on 14/5</t>
  </si>
  <si>
    <t>750- cement
90 white cement
480 stone chips
30 Jhali
800+1500+1950 labour charges</t>
  </si>
  <si>
    <t>7858953308
9835066060</t>
  </si>
  <si>
    <t>2A+C</t>
  </si>
  <si>
    <t>1F+H</t>
  </si>
  <si>
    <t>5E+G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</si>
</sst>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0;###0"/>
    <numFmt numFmtId="165" formatCode="\₹\ #,##0.00"/>
    <numFmt numFmtId="166" formatCode="\₹\ 0.00"/>
    <numFmt numFmtId="167" formatCode="\₹\ #,##0.00;[Red]\₹\ #,##0.00"/>
  </numFmts>
  <fonts count="36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b/>
      <sz val="16"/>
      <name val="Times New Roman"/>
      <family val="1"/>
    </font>
    <font>
      <b/>
      <sz val="12"/>
      <color rgb="FF000000"/>
      <name val="Times New Roman"/>
      <family val="1"/>
    </font>
    <font>
      <b/>
      <sz val="16"/>
      <color rgb="FF000000"/>
      <name val="Times New Roman"/>
      <family val="1"/>
    </font>
    <font>
      <sz val="12"/>
      <color rgb="FF000000"/>
      <name val="Times New Roman"/>
      <family val="1"/>
    </font>
    <font>
      <sz val="8"/>
      <name val="Times New Roman"/>
      <family val="1"/>
    </font>
    <font>
      <b/>
      <sz val="14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Times New Roman"/>
      <family val="1"/>
    </font>
    <font>
      <b/>
      <sz val="18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0"/>
      <color rgb="FF000000"/>
      <name val="Times New Roman"/>
      <family val="1"/>
    </font>
    <font>
      <u/>
      <sz val="16"/>
      <color rgb="FF000000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Times New Roman"/>
      <family val="1"/>
    </font>
    <font>
      <b/>
      <sz val="24"/>
      <color rgb="FFFFFF00"/>
      <name val="Times New Roman"/>
      <family val="1"/>
    </font>
    <font>
      <sz val="14"/>
      <color rgb="FF000000"/>
      <name val="Times New Roman"/>
      <family val="1"/>
    </font>
    <font>
      <b/>
      <sz val="16"/>
      <name val="Verdana"/>
      <family val="2"/>
    </font>
    <font>
      <b/>
      <sz val="11"/>
      <name val="Arial MT"/>
      <family val="2"/>
    </font>
    <font>
      <b/>
      <sz val="14"/>
      <name val="Arial MT"/>
      <family val="2"/>
    </font>
    <font>
      <sz val="10"/>
      <color rgb="FF000000"/>
      <name val="Times New Roman"/>
      <family val="1"/>
    </font>
    <font>
      <b/>
      <sz val="11"/>
      <color rgb="FF000000"/>
      <name val="Arial MT"/>
      <family val="2"/>
    </font>
    <font>
      <b/>
      <sz val="14"/>
      <name val="Times New Roman"/>
      <family val="1"/>
    </font>
    <font>
      <b/>
      <sz val="11"/>
      <name val="Arial MT"/>
    </font>
    <font>
      <b/>
      <sz val="10"/>
      <name val="Arial MT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name val="Times New Roman"/>
      <family val="1"/>
    </font>
    <font>
      <b/>
      <sz val="12"/>
      <color rgb="FF00B050"/>
      <name val="Times New Roman"/>
      <family val="1"/>
    </font>
    <font>
      <sz val="10"/>
      <color rgb="FF00B050"/>
      <name val="Times New Roman"/>
      <family val="1"/>
    </font>
    <font>
      <b/>
      <sz val="24"/>
      <color rgb="FF000000"/>
      <name val="Times New Roman"/>
      <family val="1"/>
    </font>
    <font>
      <sz val="8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name val="Times New Roman"/>
      <family val="1"/>
    </font>
    <font>
      <sz val="8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DEBE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19"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0" fillId="0" borderId="0" xfId="0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0" borderId="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left" vertical="top"/>
    </xf>
    <xf numFmtId="0" fontId="7" fillId="0" borderId="4" xfId="0" applyFont="1" applyBorder="1" applyAlignment="1">
      <alignment horizontal="center" vertical="top"/>
    </xf>
    <xf numFmtId="164" fontId="8" fillId="0" borderId="1" xfId="0" applyNumberFormat="1" applyFont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164" fontId="8" fillId="0" borderId="2" xfId="0" applyNumberFormat="1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164" fontId="8" fillId="0" borderId="10" xfId="0" applyNumberFormat="1" applyFont="1" applyBorder="1" applyAlignment="1">
      <alignment horizontal="center" vertical="top" wrapText="1"/>
    </xf>
    <xf numFmtId="0" fontId="10" fillId="0" borderId="8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top" wrapText="1"/>
    </xf>
    <xf numFmtId="0" fontId="8" fillId="0" borderId="13" xfId="0" applyFont="1" applyBorder="1" applyAlignment="1">
      <alignment horizontal="center" vertical="top"/>
    </xf>
    <xf numFmtId="0" fontId="8" fillId="0" borderId="14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16" fontId="8" fillId="0" borderId="4" xfId="0" applyNumberFormat="1" applyFont="1" applyBorder="1" applyAlignment="1">
      <alignment horizontal="center" vertical="top"/>
    </xf>
    <xf numFmtId="16" fontId="8" fillId="0" borderId="5" xfId="0" applyNumberFormat="1" applyFont="1" applyBorder="1" applyAlignment="1">
      <alignment horizontal="center" vertical="top"/>
    </xf>
    <xf numFmtId="164" fontId="8" fillId="4" borderId="1" xfId="0" applyNumberFormat="1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4" borderId="2" xfId="0" applyFont="1" applyFill="1" applyBorder="1" applyAlignment="1">
      <alignment horizontal="center" vertical="top" wrapText="1"/>
    </xf>
    <xf numFmtId="0" fontId="8" fillId="4" borderId="2" xfId="0" applyFont="1" applyFill="1" applyBorder="1" applyAlignment="1">
      <alignment horizontal="center" vertical="top" wrapText="1"/>
    </xf>
    <xf numFmtId="0" fontId="8" fillId="4" borderId="4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top"/>
    </xf>
    <xf numFmtId="0" fontId="0" fillId="4" borderId="4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9" fillId="4" borderId="1" xfId="0" applyFont="1" applyFill="1" applyBorder="1" applyAlignment="1">
      <alignment horizontal="left" vertical="top" wrapText="1"/>
    </xf>
    <xf numFmtId="164" fontId="8" fillId="4" borderId="2" xfId="0" applyNumberFormat="1" applyFont="1" applyFill="1" applyBorder="1" applyAlignment="1">
      <alignment horizontal="center" vertical="top" wrapText="1"/>
    </xf>
    <xf numFmtId="0" fontId="12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17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10" fillId="4" borderId="5" xfId="0" applyFont="1" applyFill="1" applyBorder="1" applyAlignment="1">
      <alignment horizontal="center" vertical="top"/>
    </xf>
    <xf numFmtId="0" fontId="14" fillId="0" borderId="5" xfId="0" applyFont="1" applyBorder="1" applyAlignment="1">
      <alignment horizontal="center" vertical="top"/>
    </xf>
    <xf numFmtId="0" fontId="10" fillId="0" borderId="14" xfId="0" applyFont="1" applyBorder="1" applyAlignment="1">
      <alignment horizontal="center" vertical="top"/>
    </xf>
    <xf numFmtId="0" fontId="12" fillId="4" borderId="4" xfId="0" applyFont="1" applyFill="1" applyBorder="1" applyAlignment="1">
      <alignment horizontal="left" vertical="top"/>
    </xf>
    <xf numFmtId="0" fontId="12" fillId="0" borderId="13" xfId="0" applyFont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 wrapText="1"/>
    </xf>
    <xf numFmtId="164" fontId="8" fillId="4" borderId="10" xfId="0" applyNumberFormat="1" applyFont="1" applyFill="1" applyBorder="1" applyAlignment="1">
      <alignment horizontal="center" vertical="top" wrapText="1"/>
    </xf>
    <xf numFmtId="0" fontId="9" fillId="4" borderId="11" xfId="0" applyFont="1" applyFill="1" applyBorder="1" applyAlignment="1">
      <alignment horizontal="left" vertical="top" wrapText="1"/>
    </xf>
    <xf numFmtId="0" fontId="9" fillId="4" borderId="12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164" fontId="8" fillId="4" borderId="11" xfId="0" applyNumberFormat="1" applyFont="1" applyFill="1" applyBorder="1" applyAlignment="1">
      <alignment horizontal="center" vertical="top" wrapText="1"/>
    </xf>
    <xf numFmtId="0" fontId="8" fillId="4" borderId="13" xfId="0" applyFont="1" applyFill="1" applyBorder="1" applyAlignment="1">
      <alignment horizontal="center" vertical="top"/>
    </xf>
    <xf numFmtId="0" fontId="10" fillId="4" borderId="13" xfId="0" applyFont="1" applyFill="1" applyBorder="1" applyAlignment="1">
      <alignment horizontal="center" vertical="top"/>
    </xf>
    <xf numFmtId="0" fontId="8" fillId="4" borderId="14" xfId="0" applyFont="1" applyFill="1" applyBorder="1" applyAlignment="1">
      <alignment horizontal="center" vertical="top"/>
    </xf>
    <xf numFmtId="0" fontId="10" fillId="4" borderId="14" xfId="0" applyFont="1" applyFill="1" applyBorder="1" applyAlignment="1">
      <alignment horizontal="center" vertical="top"/>
    </xf>
    <xf numFmtId="0" fontId="12" fillId="4" borderId="13" xfId="0" applyFont="1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15" fillId="4" borderId="1" xfId="0" applyFont="1" applyFill="1" applyBorder="1" applyAlignment="1">
      <alignment horizontal="left" vertical="top" wrapText="1"/>
    </xf>
    <xf numFmtId="17" fontId="5" fillId="12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top"/>
    </xf>
    <xf numFmtId="0" fontId="10" fillId="10" borderId="5" xfId="0" applyFont="1" applyFill="1" applyBorder="1" applyAlignment="1">
      <alignment horizontal="center" vertical="top"/>
    </xf>
    <xf numFmtId="14" fontId="17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1" fontId="22" fillId="0" borderId="17" xfId="0" applyNumberFormat="1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left" vertical="center" wrapText="1"/>
    </xf>
    <xf numFmtId="166" fontId="7" fillId="15" borderId="4" xfId="0" applyNumberFormat="1" applyFont="1" applyFill="1" applyBorder="1" applyAlignment="1">
      <alignment horizontal="center" vertical="center" shrinkToFit="1"/>
    </xf>
    <xf numFmtId="0" fontId="23" fillId="15" borderId="4" xfId="0" applyFont="1" applyFill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center" vertical="center" shrinkToFit="1"/>
    </xf>
    <xf numFmtId="0" fontId="23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center" wrapText="1"/>
    </xf>
    <xf numFmtId="1" fontId="22" fillId="0" borderId="1" xfId="0" applyNumberFormat="1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/>
    </xf>
    <xf numFmtId="16" fontId="23" fillId="0" borderId="4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167" fontId="23" fillId="0" borderId="4" xfId="0" applyNumberFormat="1" applyFont="1" applyBorder="1" applyAlignment="1">
      <alignment horizontal="center" vertical="center" shrinkToFit="1"/>
    </xf>
    <xf numFmtId="1" fontId="22" fillId="0" borderId="21" xfId="0" applyNumberFormat="1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/>
    </xf>
    <xf numFmtId="0" fontId="25" fillId="0" borderId="2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8" fillId="14" borderId="0" xfId="0" applyFont="1" applyFill="1" applyAlignment="1">
      <alignment horizontal="center" vertical="top"/>
    </xf>
    <xf numFmtId="0" fontId="10" fillId="14" borderId="0" xfId="0" applyFont="1" applyFill="1" applyAlignment="1">
      <alignment horizontal="center" vertical="top"/>
    </xf>
    <xf numFmtId="0" fontId="12" fillId="14" borderId="4" xfId="0" applyFont="1" applyFill="1" applyBorder="1" applyAlignment="1">
      <alignment horizontal="left" vertical="top"/>
    </xf>
    <xf numFmtId="0" fontId="0" fillId="14" borderId="4" xfId="0" applyFill="1" applyBorder="1" applyAlignment="1">
      <alignment horizontal="left" vertical="top"/>
    </xf>
    <xf numFmtId="0" fontId="21" fillId="14" borderId="4" xfId="0" applyFont="1" applyFill="1" applyBorder="1" applyAlignment="1">
      <alignment vertical="center"/>
    </xf>
    <xf numFmtId="16" fontId="7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top" wrapText="1"/>
    </xf>
    <xf numFmtId="0" fontId="12" fillId="4" borderId="4" xfId="0" applyFont="1" applyFill="1" applyBorder="1" applyAlignment="1">
      <alignment horizontal="left" vertical="top" wrapText="1"/>
    </xf>
    <xf numFmtId="0" fontId="12" fillId="5" borderId="4" xfId="0" applyFont="1" applyFill="1" applyBorder="1" applyAlignment="1">
      <alignment horizontal="left" vertical="top"/>
    </xf>
    <xf numFmtId="0" fontId="0" fillId="0" borderId="4" xfId="0" applyBorder="1" applyAlignment="1">
      <alignment horizontal="center" vertical="top"/>
    </xf>
    <xf numFmtId="0" fontId="30" fillId="0" borderId="4" xfId="0" applyFont="1" applyBorder="1" applyAlignment="1">
      <alignment horizontal="left" vertical="top"/>
    </xf>
    <xf numFmtId="17" fontId="21" fillId="0" borderId="4" xfId="0" applyNumberFormat="1" applyFont="1" applyBorder="1" applyAlignment="1">
      <alignment horizontal="left" vertical="top"/>
    </xf>
    <xf numFmtId="0" fontId="12" fillId="16" borderId="4" xfId="0" applyFont="1" applyFill="1" applyBorder="1" applyAlignment="1">
      <alignment horizontal="left" vertical="top" wrapText="1"/>
    </xf>
    <xf numFmtId="166" fontId="23" fillId="0" borderId="4" xfId="0" applyNumberFormat="1" applyFont="1" applyBorder="1" applyAlignment="1">
      <alignment horizontal="center" vertical="center" shrinkToFit="1"/>
    </xf>
    <xf numFmtId="165" fontId="23" fillId="0" borderId="4" xfId="0" applyNumberFormat="1" applyFont="1" applyBorder="1" applyAlignment="1">
      <alignment horizontal="center" vertical="center" shrinkToFit="1"/>
    </xf>
    <xf numFmtId="16" fontId="7" fillId="0" borderId="4" xfId="0" applyNumberFormat="1" applyFont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top"/>
    </xf>
    <xf numFmtId="0" fontId="0" fillId="17" borderId="4" xfId="0" applyFill="1" applyBorder="1" applyAlignment="1">
      <alignment horizontal="left" vertical="top"/>
    </xf>
    <xf numFmtId="0" fontId="0" fillId="10" borderId="4" xfId="0" applyFill="1" applyBorder="1" applyAlignment="1">
      <alignment horizontal="left" vertical="top"/>
    </xf>
    <xf numFmtId="16" fontId="8" fillId="10" borderId="5" xfId="0" applyNumberFormat="1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center"/>
    </xf>
    <xf numFmtId="0" fontId="32" fillId="4" borderId="0" xfId="0" applyFont="1" applyFill="1" applyAlignment="1">
      <alignment horizontal="left" vertical="top"/>
    </xf>
    <xf numFmtId="0" fontId="12" fillId="0" borderId="25" xfId="0" applyFont="1" applyBorder="1" applyAlignment="1">
      <alignment horizontal="center" vertical="center"/>
    </xf>
    <xf numFmtId="0" fontId="25" fillId="0" borderId="1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6" fontId="33" fillId="0" borderId="4" xfId="0" applyNumberFormat="1" applyFont="1" applyBorder="1" applyAlignment="1">
      <alignment horizontal="center" vertical="center"/>
    </xf>
    <xf numFmtId="0" fontId="21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/>
    </xf>
    <xf numFmtId="0" fontId="34" fillId="10" borderId="4" xfId="0" applyFont="1" applyFill="1" applyBorder="1" applyAlignment="1">
      <alignment horizontal="left" vertical="center" wrapText="1"/>
    </xf>
    <xf numFmtId="0" fontId="21" fillId="10" borderId="4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left" vertical="center" wrapText="1"/>
    </xf>
    <xf numFmtId="16" fontId="23" fillId="0" borderId="4" xfId="0" applyNumberFormat="1" applyFont="1" applyBorder="1" applyAlignment="1">
      <alignment horizontal="center" vertical="center"/>
    </xf>
    <xf numFmtId="0" fontId="35" fillId="10" borderId="4" xfId="0" applyFont="1" applyFill="1" applyBorder="1" applyAlignment="1">
      <alignment horizontal="left" vertical="center" wrapText="1"/>
    </xf>
    <xf numFmtId="0" fontId="25" fillId="0" borderId="4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1" fontId="22" fillId="0" borderId="12" xfId="0" applyNumberFormat="1" applyFont="1" applyBorder="1" applyAlignment="1">
      <alignment vertical="center" shrinkToFit="1"/>
    </xf>
    <xf numFmtId="1" fontId="22" fillId="0" borderId="20" xfId="0" applyNumberFormat="1" applyFont="1" applyBorder="1" applyAlignment="1">
      <alignment vertical="center" shrinkToFit="1"/>
    </xf>
    <xf numFmtId="1" fontId="22" fillId="0" borderId="21" xfId="0" applyNumberFormat="1" applyFont="1" applyBorder="1" applyAlignment="1">
      <alignment vertical="center" shrinkToFit="1"/>
    </xf>
    <xf numFmtId="166" fontId="7" fillId="15" borderId="13" xfId="0" applyNumberFormat="1" applyFont="1" applyFill="1" applyBorder="1" applyAlignment="1">
      <alignment vertical="center" shrinkToFit="1"/>
    </xf>
    <xf numFmtId="166" fontId="7" fillId="15" borderId="23" xfId="0" applyNumberFormat="1" applyFont="1" applyFill="1" applyBorder="1" applyAlignment="1">
      <alignment vertical="center" shrinkToFit="1"/>
    </xf>
    <xf numFmtId="166" fontId="7" fillId="15" borderId="24" xfId="0" applyNumberFormat="1" applyFont="1" applyFill="1" applyBorder="1" applyAlignment="1">
      <alignment vertical="center" shrinkToFit="1"/>
    </xf>
    <xf numFmtId="0" fontId="23" fillId="15" borderId="13" xfId="0" applyFont="1" applyFill="1" applyBorder="1" applyAlignment="1">
      <alignment vertical="center" wrapText="1"/>
    </xf>
    <xf numFmtId="0" fontId="23" fillId="15" borderId="23" xfId="0" applyFont="1" applyFill="1" applyBorder="1" applyAlignment="1">
      <alignment vertical="center" wrapText="1"/>
    </xf>
    <xf numFmtId="0" fontId="23" fillId="15" borderId="24" xfId="0" applyFont="1" applyFill="1" applyBorder="1" applyAlignment="1">
      <alignment vertical="center" wrapText="1"/>
    </xf>
    <xf numFmtId="166" fontId="7" fillId="0" borderId="13" xfId="0" applyNumberFormat="1" applyFont="1" applyBorder="1" applyAlignment="1">
      <alignment vertical="center" shrinkToFit="1"/>
    </xf>
    <xf numFmtId="166" fontId="7" fillId="0" borderId="23" xfId="0" applyNumberFormat="1" applyFont="1" applyBorder="1" applyAlignment="1">
      <alignment vertical="center" shrinkToFit="1"/>
    </xf>
    <xf numFmtId="166" fontId="7" fillId="0" borderId="24" xfId="0" applyNumberFormat="1" applyFont="1" applyBorder="1" applyAlignment="1">
      <alignment vertical="center" shrinkToFit="1"/>
    </xf>
    <xf numFmtId="16" fontId="23" fillId="0" borderId="13" xfId="0" applyNumberFormat="1" applyFont="1" applyBorder="1" applyAlignment="1">
      <alignment vertical="center" wrapText="1"/>
    </xf>
    <xf numFmtId="16" fontId="23" fillId="0" borderId="23" xfId="0" applyNumberFormat="1" applyFont="1" applyBorder="1" applyAlignment="1">
      <alignment vertical="center" wrapText="1"/>
    </xf>
    <xf numFmtId="16" fontId="23" fillId="0" borderId="24" xfId="0" applyNumberFormat="1" applyFont="1" applyBorder="1" applyAlignment="1">
      <alignment vertical="center" wrapText="1"/>
    </xf>
    <xf numFmtId="16" fontId="7" fillId="0" borderId="13" xfId="0" applyNumberFormat="1" applyFont="1" applyBorder="1" applyAlignment="1">
      <alignment vertical="center"/>
    </xf>
    <xf numFmtId="16" fontId="7" fillId="0" borderId="23" xfId="0" applyNumberFormat="1" applyFont="1" applyBorder="1" applyAlignment="1">
      <alignment vertical="center"/>
    </xf>
    <xf numFmtId="16" fontId="7" fillId="0" borderId="24" xfId="0" applyNumberFormat="1" applyFont="1" applyBorder="1" applyAlignment="1">
      <alignment vertical="center"/>
    </xf>
    <xf numFmtId="0" fontId="23" fillId="0" borderId="13" xfId="0" applyFont="1" applyBorder="1" applyAlignment="1">
      <alignment vertical="center" wrapText="1"/>
    </xf>
    <xf numFmtId="0" fontId="23" fillId="0" borderId="23" xfId="0" applyFont="1" applyBorder="1" applyAlignment="1">
      <alignment vertical="center" wrapText="1"/>
    </xf>
    <xf numFmtId="0" fontId="23" fillId="0" borderId="24" xfId="0" applyFont="1" applyBorder="1" applyAlignment="1">
      <alignment vertical="center" wrapText="1"/>
    </xf>
    <xf numFmtId="17" fontId="4" fillId="0" borderId="4" xfId="0" applyNumberFormat="1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8" fillId="0" borderId="0" xfId="0" applyFont="1" applyAlignment="1">
      <alignment vertical="top"/>
    </xf>
    <xf numFmtId="0" fontId="2" fillId="8" borderId="2" xfId="0" applyFont="1" applyFill="1" applyBorder="1" applyAlignment="1">
      <alignment vertical="top" wrapText="1"/>
    </xf>
    <xf numFmtId="0" fontId="2" fillId="8" borderId="3" xfId="0" applyFont="1" applyFill="1" applyBorder="1" applyAlignment="1">
      <alignment vertical="top" wrapText="1"/>
    </xf>
    <xf numFmtId="0" fontId="2" fillId="8" borderId="9" xfId="0" applyFont="1" applyFill="1" applyBorder="1" applyAlignment="1">
      <alignment vertical="top" wrapText="1"/>
    </xf>
    <xf numFmtId="0" fontId="16" fillId="11" borderId="5" xfId="0" applyFont="1" applyFill="1" applyBorder="1" applyAlignment="1">
      <alignment vertical="top"/>
    </xf>
    <xf numFmtId="0" fontId="16" fillId="11" borderId="7" xfId="0" applyFont="1" applyFill="1" applyBorder="1" applyAlignment="1">
      <alignment vertical="top"/>
    </xf>
    <xf numFmtId="0" fontId="16" fillId="11" borderId="6" xfId="0" applyFont="1" applyFill="1" applyBorder="1" applyAlignment="1">
      <alignment vertical="top"/>
    </xf>
    <xf numFmtId="17" fontId="11" fillId="3" borderId="4" xfId="0" applyNumberFormat="1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17" fontId="11" fillId="7" borderId="4" xfId="0" applyNumberFormat="1" applyFont="1" applyFill="1" applyBorder="1" applyAlignment="1">
      <alignment vertical="center"/>
    </xf>
    <xf numFmtId="0" fontId="11" fillId="7" borderId="4" xfId="0" applyFont="1" applyFill="1" applyBorder="1" applyAlignment="1">
      <alignment vertical="center"/>
    </xf>
    <xf numFmtId="0" fontId="7" fillId="5" borderId="7" xfId="0" applyFont="1" applyFill="1" applyBorder="1" applyAlignment="1">
      <alignment vertical="top" wrapText="1"/>
    </xf>
    <xf numFmtId="0" fontId="10" fillId="0" borderId="4" xfId="0" applyFont="1" applyBorder="1" applyAlignment="1">
      <alignment vertical="center"/>
    </xf>
    <xf numFmtId="0" fontId="16" fillId="11" borderId="5" xfId="0" applyFont="1" applyFill="1" applyBorder="1" applyAlignment="1">
      <alignment vertical="center"/>
    </xf>
    <xf numFmtId="0" fontId="16" fillId="11" borderId="7" xfId="0" applyFont="1" applyFill="1" applyBorder="1" applyAlignment="1">
      <alignment vertical="center"/>
    </xf>
    <xf numFmtId="0" fontId="16" fillId="11" borderId="6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0" fillId="0" borderId="11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2" fillId="14" borderId="2" xfId="0" applyFont="1" applyFill="1" applyBorder="1" applyAlignment="1">
      <alignment vertical="top" wrapText="1"/>
    </xf>
    <xf numFmtId="0" fontId="2" fillId="14" borderId="3" xfId="0" applyFont="1" applyFill="1" applyBorder="1" applyAlignment="1">
      <alignment vertical="top" wrapText="1"/>
    </xf>
    <xf numFmtId="0" fontId="2" fillId="14" borderId="9" xfId="0" applyFont="1" applyFill="1" applyBorder="1" applyAlignment="1">
      <alignment vertical="top" wrapText="1"/>
    </xf>
    <xf numFmtId="0" fontId="31" fillId="3" borderId="25" xfId="0" applyFont="1" applyFill="1" applyBorder="1" applyAlignment="1">
      <alignment vertical="center"/>
    </xf>
    <xf numFmtId="0" fontId="1" fillId="0" borderId="0" xfId="1"/>
    <xf numFmtId="0" fontId="1" fillId="0" borderId="0" xfId="1" applyAlignment="1">
      <alignment horizontal="center" vertical="top"/>
    </xf>
    <xf numFmtId="0" fontId="1" fillId="0" borderId="0" xfId="1" applyAlignment="1">
      <alignment horizontal="left" vertical="top"/>
    </xf>
    <xf numFmtId="16" fontId="1" fillId="0" borderId="4" xfId="1" applyNumberFormat="1" applyBorder="1" applyAlignment="1">
      <alignment horizontal="left" vertical="top"/>
    </xf>
    <xf numFmtId="0" fontId="10" fillId="10" borderId="4" xfId="1" applyFont="1" applyFill="1" applyBorder="1" applyAlignment="1">
      <alignment horizontal="center" vertical="top"/>
    </xf>
    <xf numFmtId="164" fontId="8" fillId="0" borderId="2" xfId="1" applyNumberFormat="1" applyFont="1" applyBorder="1" applyAlignment="1">
      <alignment horizontal="center" vertical="top" wrapText="1"/>
    </xf>
    <xf numFmtId="0" fontId="9" fillId="0" borderId="2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left" vertical="top" wrapText="1"/>
    </xf>
    <xf numFmtId="164" fontId="8" fillId="0" borderId="1" xfId="1" applyNumberFormat="1" applyFont="1" applyBorder="1" applyAlignment="1">
      <alignment horizontal="center" vertical="top" wrapText="1"/>
    </xf>
    <xf numFmtId="16" fontId="1" fillId="0" borderId="3" xfId="1" applyNumberFormat="1" applyBorder="1" applyAlignment="1">
      <alignment horizontal="left" vertical="top"/>
    </xf>
    <xf numFmtId="0" fontId="10" fillId="10" borderId="3" xfId="1" applyFont="1" applyFill="1" applyBorder="1" applyAlignment="1">
      <alignment horizontal="center" vertical="top"/>
    </xf>
    <xf numFmtId="164" fontId="8" fillId="0" borderId="9" xfId="1" applyNumberFormat="1" applyFont="1" applyBorder="1" applyAlignment="1">
      <alignment horizontal="center" vertical="top" wrapText="1"/>
    </xf>
    <xf numFmtId="0" fontId="9" fillId="0" borderId="3" xfId="1" applyFont="1" applyBorder="1" applyAlignment="1">
      <alignment horizontal="center" vertical="top" wrapText="1"/>
    </xf>
    <xf numFmtId="0" fontId="9" fillId="0" borderId="3" xfId="1" applyFont="1" applyBorder="1" applyAlignment="1">
      <alignment horizontal="left" vertical="top" wrapText="1"/>
    </xf>
    <xf numFmtId="0" fontId="10" fillId="0" borderId="4" xfId="1" applyFont="1" applyBorder="1" applyAlignment="1">
      <alignment horizontal="center" vertical="top"/>
    </xf>
    <xf numFmtId="0" fontId="8" fillId="4" borderId="2" xfId="1" applyFont="1" applyFill="1" applyBorder="1" applyAlignment="1">
      <alignment horizontal="center" vertical="top" wrapText="1"/>
    </xf>
    <xf numFmtId="0" fontId="9" fillId="4" borderId="2" xfId="1" applyFont="1" applyFill="1" applyBorder="1" applyAlignment="1">
      <alignment horizontal="center" vertical="top" wrapText="1"/>
    </xf>
    <xf numFmtId="0" fontId="9" fillId="4" borderId="1" xfId="1" applyFont="1" applyFill="1" applyBorder="1" applyAlignment="1">
      <alignment horizontal="center" vertical="top" wrapText="1"/>
    </xf>
    <xf numFmtId="0" fontId="15" fillId="4" borderId="1" xfId="1" applyFont="1" applyFill="1" applyBorder="1" applyAlignment="1">
      <alignment horizontal="left" vertical="top" wrapText="1"/>
    </xf>
    <xf numFmtId="164" fontId="8" fillId="4" borderId="1" xfId="1" applyNumberFormat="1" applyFont="1" applyFill="1" applyBorder="1" applyAlignment="1">
      <alignment horizontal="center" vertical="top" wrapText="1"/>
    </xf>
    <xf numFmtId="0" fontId="10" fillId="0" borderId="3" xfId="1" applyFont="1" applyBorder="1" applyAlignment="1">
      <alignment horizontal="center" vertical="top"/>
    </xf>
    <xf numFmtId="16" fontId="1" fillId="0" borderId="2" xfId="1" applyNumberFormat="1" applyBorder="1" applyAlignment="1">
      <alignment horizontal="left" vertical="top"/>
    </xf>
    <xf numFmtId="0" fontId="10" fillId="0" borderId="2" xfId="1" applyFont="1" applyBorder="1" applyAlignment="1">
      <alignment horizontal="center" vertical="top"/>
    </xf>
    <xf numFmtId="0" fontId="8" fillId="0" borderId="2" xfId="1" applyFont="1" applyBorder="1" applyAlignment="1">
      <alignment horizontal="center" vertical="top" wrapText="1"/>
    </xf>
    <xf numFmtId="164" fontId="8" fillId="0" borderId="4" xfId="1" applyNumberFormat="1" applyFont="1" applyBorder="1" applyAlignment="1">
      <alignment horizontal="center" vertical="top" wrapText="1"/>
    </xf>
    <xf numFmtId="0" fontId="9" fillId="0" borderId="4" xfId="1" applyFont="1" applyBorder="1" applyAlignment="1">
      <alignment horizontal="center" vertical="top" wrapText="1"/>
    </xf>
    <xf numFmtId="0" fontId="9" fillId="0" borderId="4" xfId="1" applyFont="1" applyBorder="1" applyAlignment="1">
      <alignment horizontal="left" vertical="top" wrapText="1"/>
    </xf>
    <xf numFmtId="16" fontId="1" fillId="0" borderId="13" xfId="1" applyNumberFormat="1" applyBorder="1" applyAlignment="1">
      <alignment horizontal="left" vertical="top"/>
    </xf>
    <xf numFmtId="0" fontId="10" fillId="10" borderId="13" xfId="1" applyFont="1" applyFill="1" applyBorder="1" applyAlignment="1">
      <alignment horizontal="center" vertical="top"/>
    </xf>
    <xf numFmtId="164" fontId="8" fillId="0" borderId="11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center" vertical="top" wrapText="1"/>
    </xf>
    <xf numFmtId="0" fontId="9" fillId="0" borderId="12" xfId="1" applyFont="1" applyBorder="1" applyAlignment="1">
      <alignment horizontal="center" vertical="top" wrapText="1"/>
    </xf>
    <xf numFmtId="0" fontId="9" fillId="0" borderId="11" xfId="1" applyFont="1" applyBorder="1" applyAlignment="1">
      <alignment horizontal="left" vertical="top" wrapText="1"/>
    </xf>
    <xf numFmtId="164" fontId="8" fillId="0" borderId="10" xfId="1" applyNumberFormat="1" applyFont="1" applyBorder="1" applyAlignment="1">
      <alignment horizontal="center" vertical="top" wrapText="1"/>
    </xf>
    <xf numFmtId="0" fontId="10" fillId="0" borderId="13" xfId="1" applyFont="1" applyBorder="1" applyAlignment="1">
      <alignment horizontal="center" vertical="top"/>
    </xf>
    <xf numFmtId="0" fontId="8" fillId="0" borderId="11" xfId="1" applyFont="1" applyBorder="1" applyAlignment="1">
      <alignment horizontal="center" vertical="top" wrapText="1"/>
    </xf>
    <xf numFmtId="0" fontId="8" fillId="0" borderId="11" xfId="1" applyFont="1" applyBorder="1" applyAlignment="1">
      <alignment horizontal="left" vertical="top" wrapText="1"/>
    </xf>
    <xf numFmtId="0" fontId="10" fillId="0" borderId="9" xfId="1" applyFont="1" applyBorder="1" applyAlignment="1">
      <alignment horizontal="center" vertical="top"/>
    </xf>
    <xf numFmtId="0" fontId="8" fillId="4" borderId="9" xfId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center" vertical="top" wrapText="1"/>
    </xf>
    <xf numFmtId="0" fontId="15" fillId="4" borderId="3" xfId="1" applyFont="1" applyFill="1" applyBorder="1" applyAlignment="1">
      <alignment horizontal="left" vertical="top" wrapText="1"/>
    </xf>
    <xf numFmtId="164" fontId="8" fillId="4" borderId="2" xfId="1" applyNumberFormat="1" applyFont="1" applyFill="1" applyBorder="1" applyAlignment="1">
      <alignment horizontal="center" vertical="top" wrapText="1"/>
    </xf>
    <xf numFmtId="16" fontId="1" fillId="0" borderId="5" xfId="1" applyNumberFormat="1" applyBorder="1" applyAlignment="1">
      <alignment horizontal="left" vertical="top"/>
    </xf>
    <xf numFmtId="0" fontId="10" fillId="0" borderId="5" xfId="1" applyFont="1" applyBorder="1" applyAlignment="1">
      <alignment horizontal="center" vertical="top"/>
    </xf>
    <xf numFmtId="0" fontId="8" fillId="0" borderId="1" xfId="1" applyFont="1" applyBorder="1" applyAlignment="1">
      <alignment horizontal="left" vertical="top" wrapText="1"/>
    </xf>
    <xf numFmtId="0" fontId="8" fillId="4" borderId="4" xfId="1" applyFont="1" applyFill="1" applyBorder="1" applyAlignment="1">
      <alignment horizontal="center" vertical="top" wrapText="1"/>
    </xf>
    <xf numFmtId="0" fontId="9" fillId="4" borderId="4" xfId="1" applyFont="1" applyFill="1" applyBorder="1" applyAlignment="1">
      <alignment horizontal="center" vertical="top" wrapText="1"/>
    </xf>
    <xf numFmtId="0" fontId="15" fillId="4" borderId="4" xfId="1" applyFont="1" applyFill="1" applyBorder="1" applyAlignment="1">
      <alignment horizontal="left" vertical="top" wrapText="1"/>
    </xf>
    <xf numFmtId="164" fontId="8" fillId="4" borderId="4" xfId="1" applyNumberFormat="1" applyFont="1" applyFill="1" applyBorder="1" applyAlignment="1">
      <alignment horizontal="center" vertical="top" wrapText="1"/>
    </xf>
    <xf numFmtId="0" fontId="8" fillId="4" borderId="11" xfId="1" applyFont="1" applyFill="1" applyBorder="1" applyAlignment="1">
      <alignment horizontal="center" vertical="top" wrapText="1"/>
    </xf>
    <xf numFmtId="0" fontId="9" fillId="4" borderId="8" xfId="1" applyFont="1" applyFill="1" applyBorder="1" applyAlignment="1">
      <alignment horizontal="center" vertical="top" wrapText="1"/>
    </xf>
    <xf numFmtId="0" fontId="9" fillId="4" borderId="12" xfId="1" applyFont="1" applyFill="1" applyBorder="1" applyAlignment="1">
      <alignment horizontal="center" vertical="top" wrapText="1"/>
    </xf>
    <xf numFmtId="0" fontId="15" fillId="4" borderId="11" xfId="1" applyFont="1" applyFill="1" applyBorder="1" applyAlignment="1">
      <alignment horizontal="left" vertical="top" wrapText="1"/>
    </xf>
    <xf numFmtId="164" fontId="8" fillId="4" borderId="10" xfId="1" applyNumberFormat="1" applyFont="1" applyFill="1" applyBorder="1" applyAlignment="1">
      <alignment horizontal="center" vertical="top" wrapText="1"/>
    </xf>
    <xf numFmtId="0" fontId="14" fillId="0" borderId="4" xfId="1" applyFont="1" applyBorder="1" applyAlignment="1">
      <alignment horizontal="center" vertical="top"/>
    </xf>
    <xf numFmtId="0" fontId="10" fillId="10" borderId="2" xfId="1" applyFont="1" applyFill="1" applyBorder="1" applyAlignment="1">
      <alignment horizontal="center" vertical="top"/>
    </xf>
    <xf numFmtId="0" fontId="10" fillId="10" borderId="5" xfId="1" applyFont="1" applyFill="1" applyBorder="1" applyAlignment="1">
      <alignment horizontal="center" vertical="top"/>
    </xf>
    <xf numFmtId="164" fontId="8" fillId="4" borderId="9" xfId="1" applyNumberFormat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left" vertical="top" wrapText="1"/>
    </xf>
    <xf numFmtId="16" fontId="8" fillId="0" borderId="3" xfId="1" applyNumberFormat="1" applyFont="1" applyBorder="1" applyAlignment="1">
      <alignment horizontal="center" vertical="top"/>
    </xf>
    <xf numFmtId="16" fontId="8" fillId="0" borderId="5" xfId="1" applyNumberFormat="1" applyFont="1" applyBorder="1" applyAlignment="1">
      <alignment horizontal="center" vertical="top"/>
    </xf>
    <xf numFmtId="0" fontId="14" fillId="0" borderId="5" xfId="1" applyFont="1" applyBorder="1" applyAlignment="1">
      <alignment horizontal="center" vertical="top"/>
    </xf>
    <xf numFmtId="16" fontId="1" fillId="0" borderId="14" xfId="1" applyNumberFormat="1" applyBorder="1" applyAlignment="1">
      <alignment horizontal="left" vertical="top"/>
    </xf>
    <xf numFmtId="0" fontId="10" fillId="0" borderId="14" xfId="1" applyFont="1" applyBorder="1" applyAlignment="1">
      <alignment horizontal="center" vertical="top"/>
    </xf>
    <xf numFmtId="0" fontId="8" fillId="9" borderId="1" xfId="1" applyFont="1" applyFill="1" applyBorder="1" applyAlignment="1">
      <alignment horizontal="left" vertical="top" wrapText="1"/>
    </xf>
    <xf numFmtId="14" fontId="1" fillId="0" borderId="5" xfId="1" applyNumberFormat="1" applyBorder="1" applyAlignment="1">
      <alignment horizontal="left" vertical="top"/>
    </xf>
    <xf numFmtId="14" fontId="1" fillId="0" borderId="9" xfId="1" applyNumberFormat="1" applyBorder="1" applyAlignment="1">
      <alignment horizontal="left" vertical="top"/>
    </xf>
    <xf numFmtId="14" fontId="1" fillId="0" borderId="6" xfId="1" applyNumberFormat="1" applyBorder="1" applyAlignment="1">
      <alignment horizontal="left" vertical="top"/>
    </xf>
    <xf numFmtId="0" fontId="10" fillId="0" borderId="7" xfId="1" applyFont="1" applyBorder="1" applyAlignment="1">
      <alignment horizontal="center" vertical="top"/>
    </xf>
    <xf numFmtId="16" fontId="8" fillId="0" borderId="4" xfId="1" applyNumberFormat="1" applyFont="1" applyBorder="1" applyAlignment="1">
      <alignment horizontal="center" vertical="top"/>
    </xf>
    <xf numFmtId="16" fontId="8" fillId="0" borderId="9" xfId="1" applyNumberFormat="1" applyFont="1" applyBorder="1" applyAlignment="1">
      <alignment horizontal="center" vertical="top"/>
    </xf>
    <xf numFmtId="0" fontId="8" fillId="0" borderId="9" xfId="1" applyFont="1" applyBorder="1" applyAlignment="1">
      <alignment horizontal="center" vertical="top" wrapText="1"/>
    </xf>
    <xf numFmtId="0" fontId="9" fillId="4" borderId="1" xfId="1" applyFont="1" applyFill="1" applyBorder="1" applyAlignment="1">
      <alignment horizontal="left" vertical="top" wrapText="1"/>
    </xf>
    <xf numFmtId="14" fontId="1" fillId="0" borderId="0" xfId="1" applyNumberFormat="1" applyAlignment="1">
      <alignment horizontal="left" vertical="top"/>
    </xf>
    <xf numFmtId="0" fontId="10" fillId="0" borderId="0" xfId="1" applyFont="1" applyAlignment="1">
      <alignment horizontal="center" vertical="top"/>
    </xf>
    <xf numFmtId="14" fontId="1" fillId="0" borderId="4" xfId="1" applyNumberFormat="1" applyBorder="1" applyAlignment="1">
      <alignment horizontal="left" vertical="top"/>
    </xf>
    <xf numFmtId="14" fontId="1" fillId="0" borderId="14" xfId="1" applyNumberFormat="1" applyBorder="1" applyAlignment="1">
      <alignment horizontal="left" vertical="top"/>
    </xf>
    <xf numFmtId="0" fontId="14" fillId="0" borderId="13" xfId="1" applyFont="1" applyBorder="1" applyAlignment="1">
      <alignment horizontal="center" vertical="top"/>
    </xf>
    <xf numFmtId="14" fontId="1" fillId="0" borderId="3" xfId="1" applyNumberFormat="1" applyBorder="1" applyAlignment="1">
      <alignment horizontal="left" vertical="top"/>
    </xf>
    <xf numFmtId="14" fontId="1" fillId="0" borderId="7" xfId="1" applyNumberFormat="1" applyBorder="1" applyAlignment="1">
      <alignment horizontal="left" vertical="top"/>
    </xf>
    <xf numFmtId="14" fontId="17" fillId="0" borderId="3" xfId="1" applyNumberFormat="1" applyFont="1" applyBorder="1" applyAlignment="1">
      <alignment horizontal="center" vertical="center"/>
    </xf>
    <xf numFmtId="16" fontId="8" fillId="0" borderId="6" xfId="1" applyNumberFormat="1" applyFont="1" applyBorder="1" applyAlignment="1">
      <alignment horizontal="center" vertical="top"/>
    </xf>
    <xf numFmtId="0" fontId="14" fillId="0" borderId="4" xfId="1" applyFont="1" applyBorder="1" applyAlignment="1">
      <alignment horizontal="center" vertical="center"/>
    </xf>
    <xf numFmtId="16" fontId="8" fillId="0" borderId="0" xfId="1" applyNumberFormat="1" applyFont="1" applyAlignment="1">
      <alignment horizontal="center" vertical="top"/>
    </xf>
    <xf numFmtId="16" fontId="8" fillId="0" borderId="13" xfId="1" applyNumberFormat="1" applyFont="1" applyBorder="1" applyAlignment="1">
      <alignment horizontal="center" vertical="top"/>
    </xf>
    <xf numFmtId="0" fontId="8" fillId="9" borderId="11" xfId="1" applyFont="1" applyFill="1" applyBorder="1" applyAlignment="1">
      <alignment horizontal="left" vertical="top" wrapText="1"/>
    </xf>
    <xf numFmtId="16" fontId="8" fillId="0" borderId="2" xfId="1" applyNumberFormat="1" applyFont="1" applyBorder="1" applyAlignment="1">
      <alignment horizontal="center" vertical="top"/>
    </xf>
    <xf numFmtId="0" fontId="10" fillId="10" borderId="9" xfId="1" applyFont="1" applyFill="1" applyBorder="1" applyAlignment="1">
      <alignment horizontal="center" vertical="top"/>
    </xf>
    <xf numFmtId="0" fontId="10" fillId="4" borderId="4" xfId="1" applyFont="1" applyFill="1" applyBorder="1" applyAlignment="1">
      <alignment horizontal="center" vertical="top"/>
    </xf>
    <xf numFmtId="16" fontId="8" fillId="0" borderId="7" xfId="1" applyNumberFormat="1" applyFont="1" applyBorder="1" applyAlignment="1">
      <alignment horizontal="center" vertical="top"/>
    </xf>
    <xf numFmtId="0" fontId="14" fillId="0" borderId="9" xfId="1" applyFont="1" applyBorder="1" applyAlignment="1">
      <alignment horizontal="center" vertical="center"/>
    </xf>
    <xf numFmtId="0" fontId="8" fillId="4" borderId="7" xfId="1" applyFont="1" applyFill="1" applyBorder="1" applyAlignment="1">
      <alignment horizontal="center" vertical="top"/>
    </xf>
    <xf numFmtId="0" fontId="8" fillId="9" borderId="3" xfId="1" applyFont="1" applyFill="1" applyBorder="1" applyAlignment="1">
      <alignment horizontal="left" vertical="top" wrapText="1"/>
    </xf>
    <xf numFmtId="0" fontId="8" fillId="0" borderId="4" xfId="1" applyFont="1" applyBorder="1" applyAlignment="1">
      <alignment horizontal="center" vertical="top"/>
    </xf>
    <xf numFmtId="0" fontId="8" fillId="0" borderId="3" xfId="1" applyFont="1" applyBorder="1" applyAlignment="1">
      <alignment horizontal="center" vertical="top"/>
    </xf>
    <xf numFmtId="0" fontId="8" fillId="0" borderId="3" xfId="1" applyFont="1" applyBorder="1" applyAlignment="1">
      <alignment horizontal="left" vertical="top" wrapText="1"/>
    </xf>
    <xf numFmtId="0" fontId="8" fillId="0" borderId="0" xfId="1" applyFont="1" applyAlignment="1">
      <alignment horizontal="center" vertical="top"/>
    </xf>
    <xf numFmtId="16" fontId="8" fillId="0" borderId="25" xfId="1" applyNumberFormat="1" applyFont="1" applyBorder="1" applyAlignment="1">
      <alignment horizontal="center" vertical="top"/>
    </xf>
    <xf numFmtId="0" fontId="10" fillId="0" borderId="25" xfId="1" applyFont="1" applyBorder="1" applyAlignment="1">
      <alignment horizontal="center" vertical="top"/>
    </xf>
    <xf numFmtId="164" fontId="8" fillId="0" borderId="8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left" vertical="top" wrapText="1"/>
    </xf>
    <xf numFmtId="164" fontId="8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center" vertical="top" wrapText="1"/>
    </xf>
    <xf numFmtId="0" fontId="9" fillId="0" borderId="0" xfId="1" applyFont="1" applyAlignment="1">
      <alignment horizontal="left" vertical="top" wrapText="1"/>
    </xf>
    <xf numFmtId="0" fontId="10" fillId="0" borderId="0" xfId="1" applyFont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top" wrapText="1"/>
    </xf>
    <xf numFmtId="0" fontId="2" fillId="0" borderId="2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1" fillId="7" borderId="4" xfId="1" applyFont="1" applyFill="1" applyBorder="1" applyAlignment="1">
      <alignment vertical="center"/>
    </xf>
    <xf numFmtId="17" fontId="11" fillId="7" borderId="4" xfId="1" applyNumberFormat="1" applyFont="1" applyFill="1" applyBorder="1" applyAlignment="1">
      <alignment vertical="center"/>
    </xf>
    <xf numFmtId="0" fontId="2" fillId="8" borderId="9" xfId="1" applyFont="1" applyFill="1" applyBorder="1" applyAlignment="1">
      <alignment vertical="top" wrapText="1"/>
    </xf>
    <xf numFmtId="0" fontId="2" fillId="8" borderId="3" xfId="1" applyFont="1" applyFill="1" applyBorder="1" applyAlignment="1">
      <alignment vertical="top" wrapText="1"/>
    </xf>
    <xf numFmtId="0" fontId="2" fillId="8" borderId="2" xfId="1" applyFont="1" applyFill="1" applyBorder="1" applyAlignment="1">
      <alignment vertical="top" wrapText="1"/>
    </xf>
    <xf numFmtId="0" fontId="7" fillId="5" borderId="7" xfId="1" applyFont="1" applyFill="1" applyBorder="1" applyAlignment="1">
      <alignment vertical="top" wrapText="1"/>
    </xf>
    <xf numFmtId="0" fontId="28" fillId="0" borderId="0" xfId="1" applyFont="1" applyAlignment="1">
      <alignment vertical="top"/>
    </xf>
    <xf numFmtId="0" fontId="13" fillId="0" borderId="0" xfId="0" applyFont="1" applyAlignment="1">
      <alignment horizontal="center" vertical="top" wrapText="1"/>
    </xf>
    <xf numFmtId="0" fontId="20" fillId="4" borderId="5" xfId="0" applyFont="1" applyFill="1" applyBorder="1" applyAlignment="1">
      <alignment horizontal="center" vertical="center" wrapText="1"/>
    </xf>
    <xf numFmtId="0" fontId="20" fillId="4" borderId="7" xfId="0" applyFont="1" applyFill="1" applyBorder="1" applyAlignment="1">
      <alignment horizontal="center" vertical="center" wrapText="1"/>
    </xf>
    <xf numFmtId="0" fontId="18" fillId="13" borderId="15" xfId="0" applyFont="1" applyFill="1" applyBorder="1" applyAlignment="1">
      <alignment horizontal="center" vertical="center" wrapText="1"/>
    </xf>
    <xf numFmtId="0" fontId="18" fillId="13" borderId="16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top"/>
    </xf>
  </cellXfs>
  <cellStyles count="2">
    <cellStyle name="Normal" xfId="0" builtinId="0"/>
    <cellStyle name="Normal 2" xfId="1" xr:uid="{45FCC892-6AA9-4493-ACB7-F7284DBDAC2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BIR AHAMMED" id="{A2C3AF5E-E5C5-4264-A5BF-9D85F8199F8C}" userId="2999906590db14f6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71" dT="2025-10-07T14:59:28.03" personId="{A2C3AF5E-E5C5-4264-A5BF-9D85F8199F8C}" id="{D5A5E3BB-2F64-4FE7-A9BA-76877F600855}">
    <text>Due Rs 200</text>
  </threadedComment>
  <threadedComment ref="F320" dT="2025-10-07T14:59:28.03" personId="{A2C3AF5E-E5C5-4264-A5BF-9D85F8199F8C}" id="{1FDFB717-2ECC-48D9-9308-CF8C3EE7FC29}">
    <text>Due Rs 200</text>
  </threadedComment>
  <threadedComment ref="F367" dT="2025-10-07T14:59:28.03" personId="{A2C3AF5E-E5C5-4264-A5BF-9D85F8199F8C}" id="{1C3F1959-D1C3-42CC-90DC-294EEE9B41FE}">
    <text>Due Rs 200</text>
  </threadedComment>
  <threadedComment ref="F414" dT="2025-10-07T14:59:28.03" personId="{A2C3AF5E-E5C5-4264-A5BF-9D85F8199F8C}" id="{670B99F1-5A10-4E86-9A9B-1F4051A4B78F}">
    <text>Due Rs 200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7" dT="2025-10-07T14:59:28.03" personId="{A2C3AF5E-E5C5-4264-A5BF-9D85F8199F8C}" id="{9CC29A30-9507-4B8C-9111-ED98EC4BA602}">
    <text>Due Rs 200</text>
  </threadedComment>
  <threadedComment ref="T7" dT="2025-10-07T14:59:28.03" personId="{A2C3AF5E-E5C5-4264-A5BF-9D85F8199F8C}" id="{40440B97-6B7D-42C7-8538-10C04330F227}">
    <text>Due Rs 200</text>
  </threadedComment>
  <threadedComment ref="V7" dT="2025-10-07T14:59:28.03" personId="{A2C3AF5E-E5C5-4264-A5BF-9D85F8199F8C}" id="{43FCA51E-B18F-41D5-BE72-62BCDD2FBE8B}">
    <text>Due Rs 200</text>
  </threadedComment>
  <threadedComment ref="X7" dT="2025-10-07T14:59:28.03" personId="{A2C3AF5E-E5C5-4264-A5BF-9D85F8199F8C}" id="{D75D2CAA-C58D-4CBA-8F78-213BE26AA156}">
    <text>Due Rs 200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7A2D-38D8-4ABE-BD5F-98B6647922FB}">
  <dimension ref="A1:G636"/>
  <sheetViews>
    <sheetView tabSelected="1" zoomScale="55" zoomScaleNormal="55" workbookViewId="0">
      <selection activeCell="D639" sqref="D639"/>
    </sheetView>
  </sheetViews>
  <sheetFormatPr defaultColWidth="8.83203125" defaultRowHeight="15"/>
  <cols>
    <col min="1" max="1" width="14.1640625" style="185" customWidth="1"/>
    <col min="2" max="2" width="49.33203125" style="185" bestFit="1" customWidth="1"/>
    <col min="3" max="3" width="16.1640625" style="185" customWidth="1"/>
    <col min="4" max="4" width="20" style="185" customWidth="1"/>
    <col min="5" max="5" width="22.5" style="184" customWidth="1"/>
    <col min="6" max="6" width="16.1640625" style="184" customWidth="1"/>
    <col min="7" max="7" width="16.6640625" style="184" customWidth="1"/>
    <col min="8" max="16384" width="8.83203125" style="183"/>
  </cols>
  <sheetData>
    <row r="1" spans="1:7" ht="30">
      <c r="A1" s="303" t="s">
        <v>17</v>
      </c>
      <c r="B1" s="303"/>
      <c r="C1" s="303"/>
      <c r="D1" s="303"/>
      <c r="E1" s="303"/>
      <c r="F1" s="303"/>
      <c r="G1" s="303"/>
    </row>
    <row r="2" spans="1:7" ht="30">
      <c r="A2" s="303"/>
      <c r="B2" s="303"/>
      <c r="C2" s="303"/>
      <c r="D2" s="303"/>
      <c r="E2" s="303"/>
      <c r="F2" s="303"/>
      <c r="G2" s="303"/>
    </row>
    <row r="3" spans="1:7" ht="18.75">
      <c r="F3" s="302"/>
      <c r="G3" s="302"/>
    </row>
    <row r="4" spans="1:7" ht="40.5">
      <c r="A4" s="301" t="s">
        <v>5</v>
      </c>
      <c r="B4" s="300"/>
      <c r="C4" s="300"/>
      <c r="D4" s="300"/>
      <c r="E4" s="299"/>
      <c r="F4" s="298">
        <v>45748</v>
      </c>
      <c r="G4" s="297"/>
    </row>
    <row r="5" spans="1:7" ht="20.25">
      <c r="A5" s="295" t="s">
        <v>12</v>
      </c>
      <c r="B5" s="296" t="s">
        <v>13</v>
      </c>
      <c r="C5" s="295" t="s">
        <v>14</v>
      </c>
      <c r="D5" s="294" t="s">
        <v>23</v>
      </c>
      <c r="E5" s="293" t="s">
        <v>15</v>
      </c>
      <c r="F5" s="292" t="s">
        <v>18</v>
      </c>
      <c r="G5" s="292" t="s">
        <v>19</v>
      </c>
    </row>
    <row r="6" spans="1:7" ht="23.25">
      <c r="A6" s="192">
        <v>1</v>
      </c>
      <c r="B6" s="191" t="s">
        <v>26</v>
      </c>
      <c r="C6" s="190" t="s">
        <v>27</v>
      </c>
      <c r="D6" s="189">
        <v>3</v>
      </c>
      <c r="E6" s="188">
        <v>9609688683</v>
      </c>
      <c r="F6" s="198">
        <v>1200</v>
      </c>
      <c r="G6" s="253">
        <v>45792</v>
      </c>
    </row>
    <row r="7" spans="1:7" ht="23.25">
      <c r="A7" s="192">
        <v>2</v>
      </c>
      <c r="B7" s="191" t="s">
        <v>28</v>
      </c>
      <c r="C7" s="190" t="s">
        <v>29</v>
      </c>
      <c r="D7" s="189">
        <v>3</v>
      </c>
      <c r="E7" s="188">
        <v>7557076444</v>
      </c>
      <c r="F7" s="198">
        <v>1200</v>
      </c>
      <c r="G7" s="253">
        <v>45792</v>
      </c>
    </row>
    <row r="8" spans="1:7" ht="23.25">
      <c r="A8" s="192">
        <v>3</v>
      </c>
      <c r="B8" s="191" t="s">
        <v>30</v>
      </c>
      <c r="C8" s="190" t="s">
        <v>31</v>
      </c>
      <c r="D8" s="189">
        <v>2</v>
      </c>
      <c r="E8" s="188">
        <v>8001604274</v>
      </c>
      <c r="F8" s="198">
        <v>1200</v>
      </c>
      <c r="G8" s="253">
        <v>45792</v>
      </c>
    </row>
    <row r="9" spans="1:7" ht="23.25">
      <c r="A9" s="192">
        <v>4</v>
      </c>
      <c r="B9" s="248" t="s">
        <v>20</v>
      </c>
      <c r="C9" s="190" t="s">
        <v>32</v>
      </c>
      <c r="D9" s="189">
        <v>2</v>
      </c>
      <c r="E9" s="207"/>
      <c r="F9" s="198">
        <v>1200</v>
      </c>
      <c r="G9" s="253">
        <v>45792</v>
      </c>
    </row>
    <row r="10" spans="1:7" ht="23.25">
      <c r="A10" s="192">
        <v>5</v>
      </c>
      <c r="B10" s="191" t="s">
        <v>33</v>
      </c>
      <c r="C10" s="190" t="s">
        <v>34</v>
      </c>
      <c r="D10" s="189">
        <v>3</v>
      </c>
      <c r="E10" s="188">
        <v>9434115212</v>
      </c>
      <c r="F10" s="198">
        <v>1200</v>
      </c>
      <c r="G10" s="253">
        <v>45792</v>
      </c>
    </row>
    <row r="11" spans="1:7" ht="23.25">
      <c r="A11" s="192">
        <v>6</v>
      </c>
      <c r="B11" s="191" t="s">
        <v>35</v>
      </c>
      <c r="C11" s="190" t="s">
        <v>243</v>
      </c>
      <c r="D11" s="189" t="s">
        <v>24</v>
      </c>
      <c r="E11" s="188">
        <v>9474561244</v>
      </c>
      <c r="F11" s="198">
        <v>2400</v>
      </c>
      <c r="G11" s="253">
        <v>45792</v>
      </c>
    </row>
    <row r="12" spans="1:7" ht="23.25">
      <c r="A12" s="192">
        <v>7</v>
      </c>
      <c r="B12" s="228" t="s">
        <v>1</v>
      </c>
      <c r="C12" s="190" t="s">
        <v>37</v>
      </c>
      <c r="D12" s="189">
        <v>2</v>
      </c>
      <c r="E12" s="207">
        <v>9475044158</v>
      </c>
      <c r="F12" s="198">
        <v>1200</v>
      </c>
      <c r="G12" s="253">
        <v>45792</v>
      </c>
    </row>
    <row r="13" spans="1:7" ht="23.25">
      <c r="A13" s="188">
        <v>8</v>
      </c>
      <c r="B13" s="197" t="s">
        <v>0</v>
      </c>
      <c r="C13" s="196" t="s">
        <v>242</v>
      </c>
      <c r="D13" s="196" t="s">
        <v>24</v>
      </c>
      <c r="E13" s="195">
        <v>9933111420</v>
      </c>
      <c r="F13" s="258">
        <v>2400</v>
      </c>
      <c r="G13" s="267">
        <v>45792</v>
      </c>
    </row>
    <row r="14" spans="1:7" ht="23.25">
      <c r="A14" s="192">
        <v>9</v>
      </c>
      <c r="B14" s="191" t="s">
        <v>39</v>
      </c>
      <c r="C14" s="190" t="s">
        <v>40</v>
      </c>
      <c r="D14" s="189">
        <v>3</v>
      </c>
      <c r="E14" s="188">
        <v>9427221065</v>
      </c>
      <c r="F14" s="198">
        <v>1200</v>
      </c>
      <c r="G14" s="253">
        <v>45792</v>
      </c>
    </row>
    <row r="15" spans="1:7" ht="23.25">
      <c r="A15" s="192">
        <v>11</v>
      </c>
      <c r="B15" s="191" t="s">
        <v>42</v>
      </c>
      <c r="C15" s="190" t="s">
        <v>43</v>
      </c>
      <c r="D15" s="189">
        <v>3</v>
      </c>
      <c r="E15" s="188">
        <v>8962744280</v>
      </c>
      <c r="F15" s="198">
        <v>1200</v>
      </c>
      <c r="G15" s="253">
        <v>45792</v>
      </c>
    </row>
    <row r="16" spans="1:7" ht="23.25">
      <c r="A16" s="192">
        <v>12</v>
      </c>
      <c r="B16" s="191" t="s">
        <v>44</v>
      </c>
      <c r="C16" s="190" t="s">
        <v>45</v>
      </c>
      <c r="D16" s="189">
        <v>3</v>
      </c>
      <c r="E16" s="188">
        <v>9749543529</v>
      </c>
      <c r="F16" s="198">
        <v>1200</v>
      </c>
      <c r="G16" s="253">
        <v>45792</v>
      </c>
    </row>
    <row r="17" spans="1:7" ht="23.25">
      <c r="A17" s="192">
        <v>13</v>
      </c>
      <c r="B17" s="191" t="s">
        <v>46</v>
      </c>
      <c r="C17" s="190" t="s">
        <v>47</v>
      </c>
      <c r="D17" s="189">
        <v>2</v>
      </c>
      <c r="E17" s="188">
        <v>7001420328</v>
      </c>
      <c r="F17" s="198">
        <v>1200</v>
      </c>
      <c r="G17" s="253">
        <v>45792</v>
      </c>
    </row>
    <row r="18" spans="1:7" ht="23.25">
      <c r="A18" s="192">
        <v>15</v>
      </c>
      <c r="B18" s="191" t="s">
        <v>49</v>
      </c>
      <c r="C18" s="190" t="s">
        <v>50</v>
      </c>
      <c r="D18" s="189">
        <v>3</v>
      </c>
      <c r="E18" s="188">
        <v>8918008545</v>
      </c>
      <c r="F18" s="198">
        <v>1200</v>
      </c>
      <c r="G18" s="253">
        <v>45792</v>
      </c>
    </row>
    <row r="19" spans="1:7" ht="23.25">
      <c r="A19" s="192">
        <v>16</v>
      </c>
      <c r="B19" s="191" t="s">
        <v>51</v>
      </c>
      <c r="C19" s="190" t="s">
        <v>52</v>
      </c>
      <c r="D19" s="189">
        <v>3</v>
      </c>
      <c r="E19" s="188">
        <v>8967856644</v>
      </c>
      <c r="F19" s="198">
        <v>1200</v>
      </c>
      <c r="G19" s="253">
        <v>45792</v>
      </c>
    </row>
    <row r="20" spans="1:7" ht="23.25">
      <c r="A20" s="192">
        <v>17</v>
      </c>
      <c r="B20" s="191" t="s">
        <v>53</v>
      </c>
      <c r="C20" s="190" t="s">
        <v>54</v>
      </c>
      <c r="D20" s="189">
        <v>2</v>
      </c>
      <c r="E20" s="188">
        <v>8436193278</v>
      </c>
      <c r="F20" s="198">
        <v>1200</v>
      </c>
      <c r="G20" s="253">
        <v>45792</v>
      </c>
    </row>
    <row r="21" spans="1:7" ht="23.25">
      <c r="A21" s="188">
        <v>20</v>
      </c>
      <c r="B21" s="197" t="s">
        <v>57</v>
      </c>
      <c r="C21" s="196" t="s">
        <v>58</v>
      </c>
      <c r="D21" s="196">
        <v>3</v>
      </c>
      <c r="E21" s="195">
        <v>9474039781</v>
      </c>
      <c r="F21" s="206">
        <v>1200</v>
      </c>
      <c r="G21" s="243">
        <v>45792</v>
      </c>
    </row>
    <row r="22" spans="1:7" ht="23.25">
      <c r="A22" s="192">
        <v>21</v>
      </c>
      <c r="B22" s="191" t="s">
        <v>59</v>
      </c>
      <c r="C22" s="190" t="s">
        <v>60</v>
      </c>
      <c r="D22" s="189">
        <v>2</v>
      </c>
      <c r="E22" s="188">
        <v>8789747535</v>
      </c>
      <c r="F22" s="198">
        <v>1200</v>
      </c>
      <c r="G22" s="253">
        <v>45792</v>
      </c>
    </row>
    <row r="23" spans="1:7" ht="23.25">
      <c r="A23" s="192">
        <v>22</v>
      </c>
      <c r="B23" s="191" t="s">
        <v>61</v>
      </c>
      <c r="C23" s="190" t="s">
        <v>62</v>
      </c>
      <c r="D23" s="189">
        <v>2</v>
      </c>
      <c r="E23" s="188">
        <v>9732006006</v>
      </c>
      <c r="F23" s="198">
        <v>1200</v>
      </c>
      <c r="G23" s="253">
        <v>45792</v>
      </c>
    </row>
    <row r="24" spans="1:7" ht="23.25">
      <c r="A24" s="192">
        <v>23</v>
      </c>
      <c r="B24" s="191" t="s">
        <v>63</v>
      </c>
      <c r="C24" s="190" t="s">
        <v>64</v>
      </c>
      <c r="D24" s="189">
        <v>3</v>
      </c>
      <c r="E24" s="188">
        <v>8927777001</v>
      </c>
      <c r="F24" s="198">
        <v>1200</v>
      </c>
      <c r="G24" s="253">
        <v>45792</v>
      </c>
    </row>
    <row r="25" spans="1:7" ht="46.5">
      <c r="A25" s="192">
        <v>24</v>
      </c>
      <c r="B25" s="191" t="s">
        <v>65</v>
      </c>
      <c r="C25" s="190" t="s">
        <v>66</v>
      </c>
      <c r="D25" s="189">
        <v>3</v>
      </c>
      <c r="E25" s="207" t="s">
        <v>241</v>
      </c>
      <c r="F25" s="198">
        <v>1200</v>
      </c>
      <c r="G25" s="253">
        <v>45792</v>
      </c>
    </row>
    <row r="26" spans="1:7" ht="23.25">
      <c r="A26" s="192">
        <v>25</v>
      </c>
      <c r="B26" s="191" t="s">
        <v>67</v>
      </c>
      <c r="C26" s="190" t="s">
        <v>68</v>
      </c>
      <c r="D26" s="189">
        <v>2</v>
      </c>
      <c r="E26" s="188">
        <v>9775033283</v>
      </c>
      <c r="F26" s="198">
        <v>1200</v>
      </c>
      <c r="G26" s="253">
        <v>45792</v>
      </c>
    </row>
    <row r="27" spans="1:7" ht="23.25">
      <c r="A27" s="192">
        <v>27</v>
      </c>
      <c r="B27" s="191" t="s">
        <v>70</v>
      </c>
      <c r="C27" s="190" t="s">
        <v>71</v>
      </c>
      <c r="D27" s="189">
        <v>3</v>
      </c>
      <c r="E27" s="188">
        <v>9007993440</v>
      </c>
      <c r="F27" s="198">
        <v>1200</v>
      </c>
      <c r="G27" s="253">
        <v>45792</v>
      </c>
    </row>
    <row r="28" spans="1:7" ht="23.25">
      <c r="A28" s="192">
        <v>28</v>
      </c>
      <c r="B28" s="191" t="s">
        <v>72</v>
      </c>
      <c r="C28" s="190" t="s">
        <v>73</v>
      </c>
      <c r="D28" s="189">
        <v>3</v>
      </c>
      <c r="E28" s="188">
        <v>9851121248</v>
      </c>
      <c r="F28" s="198">
        <v>1200</v>
      </c>
      <c r="G28" s="253">
        <v>45792</v>
      </c>
    </row>
    <row r="29" spans="1:7" ht="23.25">
      <c r="A29" s="192">
        <v>29</v>
      </c>
      <c r="B29" s="191" t="s">
        <v>74</v>
      </c>
      <c r="C29" s="190" t="s">
        <v>75</v>
      </c>
      <c r="D29" s="189">
        <v>2</v>
      </c>
      <c r="E29" s="188">
        <v>7908578532</v>
      </c>
      <c r="F29" s="198">
        <v>1200</v>
      </c>
      <c r="G29" s="253">
        <v>45792</v>
      </c>
    </row>
    <row r="30" spans="1:7" ht="23.25">
      <c r="A30" s="188">
        <v>30</v>
      </c>
      <c r="B30" s="197" t="s">
        <v>76</v>
      </c>
      <c r="C30" s="196" t="s">
        <v>77</v>
      </c>
      <c r="D30" s="196">
        <v>2</v>
      </c>
      <c r="E30" s="195">
        <v>8637853169</v>
      </c>
      <c r="F30" s="206">
        <v>1200</v>
      </c>
      <c r="G30" s="243">
        <v>45792</v>
      </c>
    </row>
    <row r="31" spans="1:7" ht="23.25">
      <c r="A31" s="192">
        <v>31</v>
      </c>
      <c r="B31" s="191" t="s">
        <v>78</v>
      </c>
      <c r="C31" s="190" t="s">
        <v>79</v>
      </c>
      <c r="D31" s="189">
        <v>3</v>
      </c>
      <c r="E31" s="188">
        <v>9434101485</v>
      </c>
      <c r="F31" s="198">
        <v>1200</v>
      </c>
      <c r="G31" s="253">
        <v>45792</v>
      </c>
    </row>
    <row r="32" spans="1:7" ht="23.25">
      <c r="A32" s="192">
        <v>33</v>
      </c>
      <c r="B32" s="191" t="s">
        <v>81</v>
      </c>
      <c r="C32" s="190" t="s">
        <v>82</v>
      </c>
      <c r="D32" s="189">
        <v>2</v>
      </c>
      <c r="E32" s="188">
        <v>9749449845</v>
      </c>
      <c r="F32" s="198">
        <v>1200</v>
      </c>
      <c r="G32" s="253">
        <v>45792</v>
      </c>
    </row>
    <row r="33" spans="1:7" ht="23.25">
      <c r="A33" s="192">
        <v>34</v>
      </c>
      <c r="B33" s="191" t="s">
        <v>83</v>
      </c>
      <c r="C33" s="190" t="s">
        <v>84</v>
      </c>
      <c r="D33" s="189">
        <v>2</v>
      </c>
      <c r="E33" s="188">
        <v>9735135784</v>
      </c>
      <c r="F33" s="198">
        <v>1200</v>
      </c>
      <c r="G33" s="253">
        <v>45792</v>
      </c>
    </row>
    <row r="34" spans="1:7" ht="23.25">
      <c r="A34" s="192">
        <v>35</v>
      </c>
      <c r="B34" s="191" t="s">
        <v>85</v>
      </c>
      <c r="C34" s="190" t="s">
        <v>244</v>
      </c>
      <c r="D34" s="189" t="s">
        <v>25</v>
      </c>
      <c r="E34" s="188">
        <v>9474567580</v>
      </c>
      <c r="F34" s="266">
        <v>2400</v>
      </c>
      <c r="G34" s="253">
        <v>45792</v>
      </c>
    </row>
    <row r="35" spans="1:7" ht="23.25">
      <c r="A35" s="192">
        <v>36</v>
      </c>
      <c r="B35" s="191" t="s">
        <v>87</v>
      </c>
      <c r="C35" s="190" t="s">
        <v>88</v>
      </c>
      <c r="D35" s="189">
        <v>3</v>
      </c>
      <c r="E35" s="188">
        <v>9836087162</v>
      </c>
      <c r="F35" s="198">
        <v>1200</v>
      </c>
      <c r="G35" s="253">
        <v>45792</v>
      </c>
    </row>
    <row r="36" spans="1:7" ht="23.25">
      <c r="A36" s="192">
        <v>37</v>
      </c>
      <c r="B36" s="191" t="s">
        <v>89</v>
      </c>
      <c r="C36" s="190" t="s">
        <v>90</v>
      </c>
      <c r="D36" s="189">
        <v>2</v>
      </c>
      <c r="E36" s="188">
        <v>8101850717</v>
      </c>
      <c r="F36" s="198">
        <v>1200</v>
      </c>
      <c r="G36" s="253">
        <v>45792</v>
      </c>
    </row>
    <row r="37" spans="1:7" ht="23.25">
      <c r="A37" s="192">
        <v>38</v>
      </c>
      <c r="B37" s="191" t="s">
        <v>91</v>
      </c>
      <c r="C37" s="190" t="s">
        <v>92</v>
      </c>
      <c r="D37" s="189">
        <v>3</v>
      </c>
      <c r="E37" s="188">
        <v>8318151358</v>
      </c>
      <c r="F37" s="198">
        <v>1200</v>
      </c>
      <c r="G37" s="253">
        <v>45792</v>
      </c>
    </row>
    <row r="38" spans="1:7" ht="23.25">
      <c r="A38" s="192">
        <v>39</v>
      </c>
      <c r="B38" s="191" t="s">
        <v>93</v>
      </c>
      <c r="C38" s="190" t="s">
        <v>94</v>
      </c>
      <c r="D38" s="189">
        <v>3</v>
      </c>
      <c r="E38" s="188">
        <v>6296936814</v>
      </c>
      <c r="F38" s="198">
        <v>1200</v>
      </c>
      <c r="G38" s="253">
        <v>45792</v>
      </c>
    </row>
    <row r="39" spans="1:7" ht="23.25">
      <c r="A39" s="188">
        <v>40</v>
      </c>
      <c r="B39" s="197" t="s">
        <v>95</v>
      </c>
      <c r="C39" s="196" t="s">
        <v>96</v>
      </c>
      <c r="D39" s="196">
        <v>2</v>
      </c>
      <c r="E39" s="195">
        <v>9531571901</v>
      </c>
      <c r="F39" s="206">
        <v>1200</v>
      </c>
      <c r="G39" s="243">
        <v>45792</v>
      </c>
    </row>
    <row r="40" spans="1:7" ht="23.25">
      <c r="A40" s="192">
        <v>42</v>
      </c>
      <c r="B40" s="191" t="s">
        <v>98</v>
      </c>
      <c r="C40" s="190" t="s">
        <v>99</v>
      </c>
      <c r="D40" s="189">
        <v>3</v>
      </c>
      <c r="E40" s="188">
        <v>7680914260</v>
      </c>
      <c r="F40" s="198">
        <v>1200</v>
      </c>
      <c r="G40" s="253">
        <v>45792</v>
      </c>
    </row>
    <row r="41" spans="1:7" ht="23.25">
      <c r="A41" s="192">
        <v>46</v>
      </c>
      <c r="B41" s="191" t="s">
        <v>103</v>
      </c>
      <c r="C41" s="190" t="s">
        <v>104</v>
      </c>
      <c r="D41" s="189">
        <v>3</v>
      </c>
      <c r="E41" s="188">
        <v>7908182143</v>
      </c>
      <c r="F41" s="227">
        <v>1200</v>
      </c>
      <c r="G41" s="273">
        <v>45792</v>
      </c>
    </row>
    <row r="42" spans="1:7" ht="23.25">
      <c r="A42" s="192">
        <v>47</v>
      </c>
      <c r="B42" s="191" t="s">
        <v>105</v>
      </c>
      <c r="C42" s="190" t="s">
        <v>106</v>
      </c>
      <c r="D42" s="189">
        <v>3</v>
      </c>
      <c r="E42" s="188">
        <v>9933918646</v>
      </c>
      <c r="F42" s="198">
        <v>1200</v>
      </c>
      <c r="G42" s="253">
        <v>45792</v>
      </c>
    </row>
    <row r="43" spans="1:7" ht="23.25">
      <c r="A43" s="192">
        <v>50</v>
      </c>
      <c r="B43" s="191" t="s">
        <v>109</v>
      </c>
      <c r="C43" s="190" t="s">
        <v>110</v>
      </c>
      <c r="D43" s="189">
        <v>3</v>
      </c>
      <c r="E43" s="188">
        <v>9681710268</v>
      </c>
      <c r="F43" s="198">
        <v>1200</v>
      </c>
      <c r="G43" s="253">
        <v>45792</v>
      </c>
    </row>
    <row r="44" spans="1:7" ht="23.25">
      <c r="A44" s="192">
        <v>51</v>
      </c>
      <c r="B44" s="191" t="s">
        <v>111</v>
      </c>
      <c r="C44" s="190" t="s">
        <v>112</v>
      </c>
      <c r="D44" s="189">
        <v>3</v>
      </c>
      <c r="E44" s="188">
        <v>9434216284</v>
      </c>
      <c r="F44" s="198">
        <v>1200</v>
      </c>
      <c r="G44" s="253">
        <v>45792</v>
      </c>
    </row>
    <row r="45" spans="1:7" ht="23.25">
      <c r="A45" s="192">
        <v>52</v>
      </c>
      <c r="B45" s="191" t="s">
        <v>113</v>
      </c>
      <c r="C45" s="190" t="s">
        <v>114</v>
      </c>
      <c r="D45" s="189">
        <v>2</v>
      </c>
      <c r="E45" s="188">
        <v>9458208175</v>
      </c>
      <c r="F45" s="198">
        <v>1200</v>
      </c>
      <c r="G45" s="253">
        <v>45792</v>
      </c>
    </row>
    <row r="46" spans="1:7" ht="23.25">
      <c r="A46" s="192">
        <v>58</v>
      </c>
      <c r="B46" s="191" t="s">
        <v>120</v>
      </c>
      <c r="C46" s="190" t="s">
        <v>121</v>
      </c>
      <c r="D46" s="189">
        <v>3</v>
      </c>
      <c r="E46" s="188">
        <v>9681429435</v>
      </c>
      <c r="F46" s="198">
        <v>1200</v>
      </c>
      <c r="G46" s="253">
        <v>45792</v>
      </c>
    </row>
    <row r="47" spans="1:7" ht="23.25">
      <c r="A47" s="188">
        <v>59</v>
      </c>
      <c r="B47" s="197" t="s">
        <v>122</v>
      </c>
      <c r="C47" s="196" t="s">
        <v>123</v>
      </c>
      <c r="D47" s="196">
        <v>3</v>
      </c>
      <c r="E47" s="195">
        <v>7908970236</v>
      </c>
      <c r="F47" s="206">
        <v>1200</v>
      </c>
      <c r="G47" s="243">
        <v>45792</v>
      </c>
    </row>
    <row r="48" spans="1:7" ht="23.25">
      <c r="A48" s="192">
        <v>60</v>
      </c>
      <c r="B48" s="191" t="s">
        <v>124</v>
      </c>
      <c r="C48" s="190" t="s">
        <v>125</v>
      </c>
      <c r="D48" s="189">
        <v>2</v>
      </c>
      <c r="E48" s="188">
        <v>9046420491</v>
      </c>
      <c r="F48" s="198">
        <v>1200</v>
      </c>
      <c r="G48" s="253">
        <v>45792</v>
      </c>
    </row>
    <row r="49" spans="1:7" ht="23.25">
      <c r="A49" s="192">
        <v>1</v>
      </c>
      <c r="B49" s="191" t="s">
        <v>26</v>
      </c>
      <c r="C49" s="190" t="s">
        <v>27</v>
      </c>
      <c r="D49" s="189">
        <v>3</v>
      </c>
      <c r="E49" s="188">
        <v>9609688683</v>
      </c>
      <c r="F49" s="198">
        <v>1200</v>
      </c>
      <c r="G49" s="253">
        <v>45823</v>
      </c>
    </row>
    <row r="50" spans="1:7" ht="23.25">
      <c r="A50" s="192">
        <v>2</v>
      </c>
      <c r="B50" s="191" t="s">
        <v>28</v>
      </c>
      <c r="C50" s="190" t="s">
        <v>29</v>
      </c>
      <c r="D50" s="189">
        <v>3</v>
      </c>
      <c r="E50" s="188">
        <v>7557076444</v>
      </c>
      <c r="F50" s="198">
        <v>1200</v>
      </c>
      <c r="G50" s="253">
        <v>45823</v>
      </c>
    </row>
    <row r="51" spans="1:7" ht="23.25">
      <c r="A51" s="192">
        <v>3</v>
      </c>
      <c r="B51" s="191" t="s">
        <v>30</v>
      </c>
      <c r="C51" s="190" t="s">
        <v>31</v>
      </c>
      <c r="D51" s="189">
        <v>2</v>
      </c>
      <c r="E51" s="188">
        <v>8001604274</v>
      </c>
      <c r="F51" s="198">
        <v>1200</v>
      </c>
      <c r="G51" s="253">
        <v>45823</v>
      </c>
    </row>
    <row r="52" spans="1:7" ht="23.25">
      <c r="A52" s="192">
        <v>4</v>
      </c>
      <c r="B52" s="248" t="s">
        <v>20</v>
      </c>
      <c r="C52" s="190" t="s">
        <v>32</v>
      </c>
      <c r="D52" s="189">
        <v>2</v>
      </c>
      <c r="E52" s="207"/>
      <c r="F52" s="198">
        <v>1200</v>
      </c>
      <c r="G52" s="253">
        <v>45823</v>
      </c>
    </row>
    <row r="53" spans="1:7" ht="23.25">
      <c r="A53" s="192">
        <v>5</v>
      </c>
      <c r="B53" s="191" t="s">
        <v>33</v>
      </c>
      <c r="C53" s="190" t="s">
        <v>34</v>
      </c>
      <c r="D53" s="189">
        <v>3</v>
      </c>
      <c r="E53" s="188">
        <v>9434115212</v>
      </c>
      <c r="F53" s="227">
        <v>1200</v>
      </c>
      <c r="G53" s="273">
        <v>45823</v>
      </c>
    </row>
    <row r="54" spans="1:7" ht="23.25">
      <c r="A54" s="192">
        <v>6</v>
      </c>
      <c r="B54" s="191" t="s">
        <v>35</v>
      </c>
      <c r="C54" s="190" t="s">
        <v>243</v>
      </c>
      <c r="D54" s="189" t="s">
        <v>24</v>
      </c>
      <c r="E54" s="188">
        <v>9474561244</v>
      </c>
      <c r="F54" s="227">
        <v>2400</v>
      </c>
      <c r="G54" s="273">
        <v>45823</v>
      </c>
    </row>
    <row r="55" spans="1:7" ht="23.25">
      <c r="A55" s="192">
        <v>7</v>
      </c>
      <c r="B55" s="228" t="s">
        <v>1</v>
      </c>
      <c r="C55" s="190" t="s">
        <v>37</v>
      </c>
      <c r="D55" s="189">
        <v>2</v>
      </c>
      <c r="E55" s="207">
        <v>9475044158</v>
      </c>
      <c r="F55" s="198">
        <v>1200</v>
      </c>
      <c r="G55" s="253">
        <v>45823</v>
      </c>
    </row>
    <row r="56" spans="1:7" ht="23.25">
      <c r="A56" s="188">
        <v>8</v>
      </c>
      <c r="B56" s="197" t="s">
        <v>0</v>
      </c>
      <c r="C56" s="196" t="s">
        <v>242</v>
      </c>
      <c r="D56" s="196" t="s">
        <v>24</v>
      </c>
      <c r="E56" s="195">
        <v>9933111420</v>
      </c>
      <c r="F56" s="206">
        <v>2400</v>
      </c>
      <c r="G56" s="243">
        <v>45823</v>
      </c>
    </row>
    <row r="57" spans="1:7" ht="23.25">
      <c r="A57" s="192">
        <v>9</v>
      </c>
      <c r="B57" s="191" t="s">
        <v>39</v>
      </c>
      <c r="C57" s="190" t="s">
        <v>40</v>
      </c>
      <c r="D57" s="189">
        <v>3</v>
      </c>
      <c r="E57" s="188">
        <v>9427221065</v>
      </c>
      <c r="F57" s="198">
        <v>1200</v>
      </c>
      <c r="G57" s="253">
        <v>45823</v>
      </c>
    </row>
    <row r="58" spans="1:7" ht="23.25">
      <c r="A58" s="192">
        <v>11</v>
      </c>
      <c r="B58" s="191" t="s">
        <v>42</v>
      </c>
      <c r="C58" s="190" t="s">
        <v>43</v>
      </c>
      <c r="D58" s="189">
        <v>3</v>
      </c>
      <c r="E58" s="188">
        <v>8962744280</v>
      </c>
      <c r="F58" s="198">
        <v>1200</v>
      </c>
      <c r="G58" s="253">
        <v>45823</v>
      </c>
    </row>
    <row r="59" spans="1:7" ht="23.25">
      <c r="A59" s="192">
        <v>12</v>
      </c>
      <c r="B59" s="191" t="s">
        <v>44</v>
      </c>
      <c r="C59" s="190" t="s">
        <v>45</v>
      </c>
      <c r="D59" s="189">
        <v>3</v>
      </c>
      <c r="E59" s="188">
        <v>9749543529</v>
      </c>
      <c r="F59" s="227">
        <v>1200</v>
      </c>
      <c r="G59" s="273">
        <v>45823</v>
      </c>
    </row>
    <row r="60" spans="1:7" ht="23.25">
      <c r="A60" s="192">
        <v>13</v>
      </c>
      <c r="B60" s="191" t="s">
        <v>46</v>
      </c>
      <c r="C60" s="190" t="s">
        <v>47</v>
      </c>
      <c r="D60" s="189">
        <v>2</v>
      </c>
      <c r="E60" s="188">
        <v>7001420328</v>
      </c>
      <c r="F60" s="198">
        <v>1200</v>
      </c>
      <c r="G60" s="253">
        <v>45823</v>
      </c>
    </row>
    <row r="61" spans="1:7" ht="23.25">
      <c r="A61" s="192">
        <v>15</v>
      </c>
      <c r="B61" s="191" t="s">
        <v>49</v>
      </c>
      <c r="C61" s="190" t="s">
        <v>50</v>
      </c>
      <c r="D61" s="189">
        <v>3</v>
      </c>
      <c r="E61" s="188">
        <v>8918008545</v>
      </c>
      <c r="F61" s="198">
        <v>1200</v>
      </c>
      <c r="G61" s="253">
        <v>45823</v>
      </c>
    </row>
    <row r="62" spans="1:7" ht="23.25">
      <c r="A62" s="192">
        <v>16</v>
      </c>
      <c r="B62" s="191" t="s">
        <v>51</v>
      </c>
      <c r="C62" s="190" t="s">
        <v>52</v>
      </c>
      <c r="D62" s="189">
        <v>3</v>
      </c>
      <c r="E62" s="188">
        <v>8967856644</v>
      </c>
      <c r="F62" s="198">
        <v>1200</v>
      </c>
      <c r="G62" s="253">
        <v>45823</v>
      </c>
    </row>
    <row r="63" spans="1:7" ht="23.25">
      <c r="A63" s="192">
        <v>17</v>
      </c>
      <c r="B63" s="191" t="s">
        <v>53</v>
      </c>
      <c r="C63" s="190" t="s">
        <v>54</v>
      </c>
      <c r="D63" s="189">
        <v>2</v>
      </c>
      <c r="E63" s="188">
        <v>8436193278</v>
      </c>
      <c r="F63" s="198">
        <v>1200</v>
      </c>
      <c r="G63" s="253">
        <v>45823</v>
      </c>
    </row>
    <row r="64" spans="1:7" ht="23.25">
      <c r="A64" s="192">
        <v>20</v>
      </c>
      <c r="B64" s="191" t="s">
        <v>57</v>
      </c>
      <c r="C64" s="190" t="s">
        <v>58</v>
      </c>
      <c r="D64" s="189">
        <v>3</v>
      </c>
      <c r="E64" s="188">
        <v>9474039781</v>
      </c>
      <c r="F64" s="198">
        <v>1200</v>
      </c>
      <c r="G64" s="253">
        <v>45823</v>
      </c>
    </row>
    <row r="65" spans="1:7" ht="23.25">
      <c r="A65" s="188">
        <v>21</v>
      </c>
      <c r="B65" s="197" t="s">
        <v>59</v>
      </c>
      <c r="C65" s="196" t="s">
        <v>60</v>
      </c>
      <c r="D65" s="196">
        <v>2</v>
      </c>
      <c r="E65" s="195">
        <v>8789747535</v>
      </c>
      <c r="F65" s="206">
        <v>1200</v>
      </c>
      <c r="G65" s="243">
        <v>45823</v>
      </c>
    </row>
    <row r="66" spans="1:7" ht="23.25">
      <c r="A66" s="192">
        <v>22</v>
      </c>
      <c r="B66" s="191" t="s">
        <v>61</v>
      </c>
      <c r="C66" s="190" t="s">
        <v>62</v>
      </c>
      <c r="D66" s="189">
        <v>2</v>
      </c>
      <c r="E66" s="188">
        <v>9732006006</v>
      </c>
      <c r="F66" s="198">
        <v>1200</v>
      </c>
      <c r="G66" s="253">
        <v>45823</v>
      </c>
    </row>
    <row r="67" spans="1:7" ht="23.25">
      <c r="A67" s="192">
        <v>23</v>
      </c>
      <c r="B67" s="191" t="s">
        <v>63</v>
      </c>
      <c r="C67" s="190" t="s">
        <v>64</v>
      </c>
      <c r="D67" s="189">
        <v>3</v>
      </c>
      <c r="E67" s="188">
        <v>8927777001</v>
      </c>
      <c r="F67" s="198">
        <v>1200</v>
      </c>
      <c r="G67" s="253">
        <v>45823</v>
      </c>
    </row>
    <row r="68" spans="1:7" ht="46.5">
      <c r="A68" s="192">
        <v>24</v>
      </c>
      <c r="B68" s="191" t="s">
        <v>65</v>
      </c>
      <c r="C68" s="190" t="s">
        <v>66</v>
      </c>
      <c r="D68" s="189">
        <v>3</v>
      </c>
      <c r="E68" s="207" t="s">
        <v>241</v>
      </c>
      <c r="F68" s="198">
        <v>1200</v>
      </c>
      <c r="G68" s="253">
        <v>45823</v>
      </c>
    </row>
    <row r="69" spans="1:7" ht="23.25">
      <c r="A69" s="192">
        <v>25</v>
      </c>
      <c r="B69" s="191" t="s">
        <v>67</v>
      </c>
      <c r="C69" s="190" t="s">
        <v>68</v>
      </c>
      <c r="D69" s="189">
        <v>2</v>
      </c>
      <c r="E69" s="188">
        <v>9775033283</v>
      </c>
      <c r="F69" s="198">
        <v>1200</v>
      </c>
      <c r="G69" s="253">
        <v>45823</v>
      </c>
    </row>
    <row r="70" spans="1:7" ht="23.25">
      <c r="A70" s="192">
        <v>27</v>
      </c>
      <c r="B70" s="191" t="s">
        <v>70</v>
      </c>
      <c r="C70" s="190" t="s">
        <v>71</v>
      </c>
      <c r="D70" s="189">
        <v>3</v>
      </c>
      <c r="E70" s="188">
        <v>9007993440</v>
      </c>
      <c r="F70" s="289">
        <v>1200</v>
      </c>
      <c r="G70" s="253">
        <v>45823</v>
      </c>
    </row>
    <row r="71" spans="1:7" ht="23.25">
      <c r="A71" s="192">
        <v>28</v>
      </c>
      <c r="B71" s="191" t="s">
        <v>72</v>
      </c>
      <c r="C71" s="190" t="s">
        <v>73</v>
      </c>
      <c r="D71" s="189">
        <v>3</v>
      </c>
      <c r="E71" s="188">
        <v>9851121248</v>
      </c>
      <c r="F71" s="289">
        <v>1200</v>
      </c>
      <c r="G71" s="253">
        <v>45823</v>
      </c>
    </row>
    <row r="72" spans="1:7" ht="23.25">
      <c r="A72" s="192">
        <v>29</v>
      </c>
      <c r="B72" s="191" t="s">
        <v>74</v>
      </c>
      <c r="C72" s="190" t="s">
        <v>75</v>
      </c>
      <c r="D72" s="189">
        <v>2</v>
      </c>
      <c r="E72" s="188">
        <v>7908578532</v>
      </c>
      <c r="F72" s="289">
        <v>1200</v>
      </c>
      <c r="G72" s="253">
        <v>45823</v>
      </c>
    </row>
    <row r="73" spans="1:7" ht="23.25">
      <c r="A73" s="192">
        <v>30</v>
      </c>
      <c r="B73" s="191" t="s">
        <v>76</v>
      </c>
      <c r="C73" s="190" t="s">
        <v>77</v>
      </c>
      <c r="D73" s="189">
        <v>2</v>
      </c>
      <c r="E73" s="188">
        <v>8637853169</v>
      </c>
      <c r="F73" s="289">
        <v>1200</v>
      </c>
      <c r="G73" s="253">
        <v>45823</v>
      </c>
    </row>
    <row r="74" spans="1:7" ht="23.25">
      <c r="A74" s="217">
        <v>31</v>
      </c>
      <c r="B74" s="216" t="s">
        <v>78</v>
      </c>
      <c r="C74" s="215" t="s">
        <v>79</v>
      </c>
      <c r="D74" s="214">
        <v>3</v>
      </c>
      <c r="E74" s="213">
        <v>9434101485</v>
      </c>
      <c r="F74" s="291">
        <v>1200</v>
      </c>
      <c r="G74" s="268">
        <v>45823</v>
      </c>
    </row>
    <row r="75" spans="1:7" ht="23.25">
      <c r="A75" s="192">
        <v>33</v>
      </c>
      <c r="B75" s="216" t="s">
        <v>81</v>
      </c>
      <c r="C75" s="215" t="s">
        <v>82</v>
      </c>
      <c r="D75" s="214">
        <v>2</v>
      </c>
      <c r="E75" s="213">
        <v>9749449845</v>
      </c>
      <c r="F75" s="291">
        <v>1200</v>
      </c>
      <c r="G75" s="268">
        <v>45823</v>
      </c>
    </row>
    <row r="76" spans="1:7" ht="23.25">
      <c r="A76" s="217">
        <v>34</v>
      </c>
      <c r="B76" s="216" t="s">
        <v>83</v>
      </c>
      <c r="C76" s="215" t="s">
        <v>84</v>
      </c>
      <c r="D76" s="214">
        <v>2</v>
      </c>
      <c r="E76" s="213">
        <v>9735135784</v>
      </c>
      <c r="F76" s="291">
        <v>1200</v>
      </c>
      <c r="G76" s="268">
        <v>45823</v>
      </c>
    </row>
    <row r="77" spans="1:7" ht="23.25">
      <c r="A77" s="217">
        <v>35</v>
      </c>
      <c r="B77" s="216" t="s">
        <v>85</v>
      </c>
      <c r="C77" s="190" t="s">
        <v>244</v>
      </c>
      <c r="D77" s="214" t="s">
        <v>25</v>
      </c>
      <c r="E77" s="213">
        <v>9474567580</v>
      </c>
      <c r="F77" s="290">
        <v>2400</v>
      </c>
      <c r="G77" s="268">
        <v>45823</v>
      </c>
    </row>
    <row r="78" spans="1:7" ht="23.25">
      <c r="A78" s="208">
        <v>36</v>
      </c>
      <c r="B78" s="210" t="s">
        <v>87</v>
      </c>
      <c r="C78" s="209" t="s">
        <v>88</v>
      </c>
      <c r="D78" s="209">
        <v>3</v>
      </c>
      <c r="E78" s="208">
        <v>9836087162</v>
      </c>
      <c r="F78" s="289">
        <v>1200</v>
      </c>
      <c r="G78" s="253">
        <v>45823</v>
      </c>
    </row>
    <row r="79" spans="1:7" ht="23.25">
      <c r="A79" s="285">
        <v>37</v>
      </c>
      <c r="B79" s="287" t="s">
        <v>89</v>
      </c>
      <c r="C79" s="286" t="s">
        <v>90</v>
      </c>
      <c r="D79" s="286">
        <v>2</v>
      </c>
      <c r="E79" s="285">
        <v>8101850717</v>
      </c>
      <c r="F79" s="288">
        <v>1200</v>
      </c>
      <c r="G79" s="267">
        <v>45823</v>
      </c>
    </row>
    <row r="80" spans="1:7" ht="23.25">
      <c r="A80" s="285">
        <v>38</v>
      </c>
      <c r="B80" s="287" t="s">
        <v>91</v>
      </c>
      <c r="C80" s="286" t="s">
        <v>92</v>
      </c>
      <c r="D80" s="286">
        <v>3</v>
      </c>
      <c r="E80" s="285">
        <v>8318151358</v>
      </c>
      <c r="F80" s="198">
        <v>1200</v>
      </c>
      <c r="G80" s="253">
        <v>45823</v>
      </c>
    </row>
    <row r="81" spans="1:7" ht="23.25">
      <c r="A81" s="283">
        <v>39</v>
      </c>
      <c r="B81" s="284" t="s">
        <v>93</v>
      </c>
      <c r="C81" s="214" t="s">
        <v>94</v>
      </c>
      <c r="D81" s="214">
        <v>3</v>
      </c>
      <c r="E81" s="283">
        <v>6296936814</v>
      </c>
      <c r="F81" s="282">
        <v>1200</v>
      </c>
      <c r="G81" s="281">
        <v>45823</v>
      </c>
    </row>
    <row r="82" spans="1:7" ht="23.25">
      <c r="A82" s="192">
        <v>40</v>
      </c>
      <c r="B82" s="191" t="s">
        <v>95</v>
      </c>
      <c r="C82" s="190" t="s">
        <v>96</v>
      </c>
      <c r="D82" s="189">
        <v>2</v>
      </c>
      <c r="E82" s="188">
        <v>9531571901</v>
      </c>
      <c r="F82" s="198">
        <v>1200</v>
      </c>
      <c r="G82" s="253">
        <v>45823</v>
      </c>
    </row>
    <row r="83" spans="1:7" ht="23.25">
      <c r="A83" s="192">
        <v>42</v>
      </c>
      <c r="B83" s="191" t="s">
        <v>98</v>
      </c>
      <c r="C83" s="190" t="s">
        <v>99</v>
      </c>
      <c r="D83" s="189">
        <v>3</v>
      </c>
      <c r="E83" s="188">
        <v>7680914260</v>
      </c>
      <c r="F83" s="198">
        <v>1200</v>
      </c>
      <c r="G83" s="253">
        <v>45823</v>
      </c>
    </row>
    <row r="84" spans="1:7" ht="23.25">
      <c r="A84" s="192">
        <v>46</v>
      </c>
      <c r="B84" s="191" t="s">
        <v>103</v>
      </c>
      <c r="C84" s="190" t="s">
        <v>104</v>
      </c>
      <c r="D84" s="189">
        <v>3</v>
      </c>
      <c r="E84" s="188">
        <v>7908182143</v>
      </c>
      <c r="F84" s="198">
        <v>1200</v>
      </c>
      <c r="G84" s="253">
        <v>45823</v>
      </c>
    </row>
    <row r="85" spans="1:7" ht="23.25">
      <c r="A85" s="192">
        <v>47</v>
      </c>
      <c r="B85" s="191" t="s">
        <v>105</v>
      </c>
      <c r="C85" s="190" t="s">
        <v>106</v>
      </c>
      <c r="D85" s="189">
        <v>3</v>
      </c>
      <c r="E85" s="188">
        <v>9933918646</v>
      </c>
      <c r="F85" s="198">
        <v>1200</v>
      </c>
      <c r="G85" s="253">
        <v>45823</v>
      </c>
    </row>
    <row r="86" spans="1:7" ht="23.25">
      <c r="A86" s="192">
        <v>50</v>
      </c>
      <c r="B86" s="191" t="s">
        <v>109</v>
      </c>
      <c r="C86" s="190" t="s">
        <v>110</v>
      </c>
      <c r="D86" s="189">
        <v>3</v>
      </c>
      <c r="E86" s="188">
        <v>9681710268</v>
      </c>
      <c r="F86" s="198">
        <v>1200</v>
      </c>
      <c r="G86" s="253">
        <v>45823</v>
      </c>
    </row>
    <row r="87" spans="1:7" ht="23.25">
      <c r="A87" s="192">
        <v>51</v>
      </c>
      <c r="B87" s="191" t="s">
        <v>111</v>
      </c>
      <c r="C87" s="190" t="s">
        <v>112</v>
      </c>
      <c r="D87" s="189">
        <v>3</v>
      </c>
      <c r="E87" s="188">
        <v>9434216284</v>
      </c>
      <c r="F87" s="198">
        <v>1200</v>
      </c>
      <c r="G87" s="253">
        <v>45823</v>
      </c>
    </row>
    <row r="88" spans="1:7" ht="23.25">
      <c r="A88" s="192">
        <v>52</v>
      </c>
      <c r="B88" s="191" t="s">
        <v>113</v>
      </c>
      <c r="C88" s="190" t="s">
        <v>114</v>
      </c>
      <c r="D88" s="189">
        <v>2</v>
      </c>
      <c r="E88" s="188">
        <v>9458208175</v>
      </c>
      <c r="F88" s="198">
        <v>1200</v>
      </c>
      <c r="G88" s="253">
        <v>45823</v>
      </c>
    </row>
    <row r="89" spans="1:7" ht="23.25">
      <c r="A89" s="192">
        <v>58</v>
      </c>
      <c r="B89" s="191" t="s">
        <v>120</v>
      </c>
      <c r="C89" s="190" t="s">
        <v>121</v>
      </c>
      <c r="D89" s="189">
        <v>3</v>
      </c>
      <c r="E89" s="188">
        <v>9681429435</v>
      </c>
      <c r="F89" s="277">
        <v>1200</v>
      </c>
      <c r="G89" s="253">
        <v>45823</v>
      </c>
    </row>
    <row r="90" spans="1:7" ht="23.25">
      <c r="A90" s="188">
        <v>59</v>
      </c>
      <c r="B90" s="197" t="s">
        <v>122</v>
      </c>
      <c r="C90" s="196" t="s">
        <v>123</v>
      </c>
      <c r="D90" s="196">
        <v>3</v>
      </c>
      <c r="E90" s="195">
        <v>7908970236</v>
      </c>
      <c r="F90" s="280">
        <v>1200</v>
      </c>
      <c r="G90" s="267">
        <v>45823</v>
      </c>
    </row>
    <row r="91" spans="1:7" ht="23.25">
      <c r="A91" s="192">
        <v>60</v>
      </c>
      <c r="B91" s="191" t="s">
        <v>124</v>
      </c>
      <c r="C91" s="190" t="s">
        <v>125</v>
      </c>
      <c r="D91" s="189">
        <v>2</v>
      </c>
      <c r="E91" s="188">
        <v>9046420491</v>
      </c>
      <c r="F91" s="277">
        <v>1200</v>
      </c>
      <c r="G91" s="253">
        <v>45823</v>
      </c>
    </row>
    <row r="92" spans="1:7" ht="23.25">
      <c r="A92" s="192">
        <v>1</v>
      </c>
      <c r="B92" s="191" t="s">
        <v>26</v>
      </c>
      <c r="C92" s="190" t="s">
        <v>27</v>
      </c>
      <c r="D92" s="189">
        <v>3</v>
      </c>
      <c r="E92" s="188">
        <v>9609688683</v>
      </c>
      <c r="F92" s="198">
        <v>1300</v>
      </c>
      <c r="G92" s="253">
        <v>45853</v>
      </c>
    </row>
    <row r="93" spans="1:7" ht="23.25">
      <c r="A93" s="192">
        <v>2</v>
      </c>
      <c r="B93" s="191" t="s">
        <v>28</v>
      </c>
      <c r="C93" s="190" t="s">
        <v>29</v>
      </c>
      <c r="D93" s="189">
        <v>3</v>
      </c>
      <c r="E93" s="188">
        <v>7557076444</v>
      </c>
      <c r="F93" s="198">
        <v>1300</v>
      </c>
      <c r="G93" s="253">
        <v>45853</v>
      </c>
    </row>
    <row r="94" spans="1:7" ht="23.25">
      <c r="A94" s="192">
        <v>3</v>
      </c>
      <c r="B94" s="191" t="s">
        <v>30</v>
      </c>
      <c r="C94" s="190" t="s">
        <v>31</v>
      </c>
      <c r="D94" s="189">
        <v>2</v>
      </c>
      <c r="E94" s="188">
        <v>8001604274</v>
      </c>
      <c r="F94" s="198">
        <v>1000</v>
      </c>
      <c r="G94" s="253">
        <v>45853</v>
      </c>
    </row>
    <row r="95" spans="1:7" ht="23.25">
      <c r="A95" s="192">
        <v>4</v>
      </c>
      <c r="B95" s="248" t="s">
        <v>20</v>
      </c>
      <c r="C95" s="190" t="s">
        <v>32</v>
      </c>
      <c r="D95" s="189">
        <v>2</v>
      </c>
      <c r="E95" s="207"/>
      <c r="F95" s="198">
        <v>1000</v>
      </c>
      <c r="G95" s="253">
        <v>45853</v>
      </c>
    </row>
    <row r="96" spans="1:7" ht="23.25">
      <c r="A96" s="192">
        <v>5</v>
      </c>
      <c r="B96" s="191" t="s">
        <v>33</v>
      </c>
      <c r="C96" s="190" t="s">
        <v>34</v>
      </c>
      <c r="D96" s="189">
        <v>3</v>
      </c>
      <c r="E96" s="188">
        <v>9434115212</v>
      </c>
      <c r="F96" s="198">
        <v>1300</v>
      </c>
      <c r="G96" s="253">
        <v>45853</v>
      </c>
    </row>
    <row r="97" spans="1:7" ht="23.25">
      <c r="A97" s="192">
        <v>6</v>
      </c>
      <c r="B97" s="191" t="s">
        <v>35</v>
      </c>
      <c r="C97" s="190" t="s">
        <v>243</v>
      </c>
      <c r="D97" s="189" t="s">
        <v>24</v>
      </c>
      <c r="E97" s="188">
        <v>9474561244</v>
      </c>
      <c r="F97" s="198">
        <v>2300</v>
      </c>
      <c r="G97" s="253">
        <v>45853</v>
      </c>
    </row>
    <row r="98" spans="1:7" ht="23.25">
      <c r="A98" s="188">
        <v>7</v>
      </c>
      <c r="B98" s="279" t="s">
        <v>1</v>
      </c>
      <c r="C98" s="196" t="s">
        <v>37</v>
      </c>
      <c r="D98" s="196">
        <v>2</v>
      </c>
      <c r="E98" s="255">
        <v>9475044158</v>
      </c>
      <c r="F98" s="204">
        <v>1000</v>
      </c>
      <c r="G98" s="243">
        <v>45853</v>
      </c>
    </row>
    <row r="99" spans="1:7" ht="23.25">
      <c r="A99" s="192">
        <v>8</v>
      </c>
      <c r="B99" s="191" t="s">
        <v>0</v>
      </c>
      <c r="C99" s="196" t="s">
        <v>242</v>
      </c>
      <c r="D99" s="189" t="s">
        <v>24</v>
      </c>
      <c r="E99" s="188">
        <v>9933111420</v>
      </c>
      <c r="F99" s="198">
        <v>2300</v>
      </c>
      <c r="G99" s="253">
        <v>45853</v>
      </c>
    </row>
    <row r="100" spans="1:7" ht="23.25">
      <c r="A100" s="192">
        <v>9</v>
      </c>
      <c r="B100" s="191" t="s">
        <v>39</v>
      </c>
      <c r="C100" s="190" t="s">
        <v>40</v>
      </c>
      <c r="D100" s="189">
        <v>3</v>
      </c>
      <c r="E100" s="188">
        <v>9427221065</v>
      </c>
      <c r="F100" s="198">
        <v>1300</v>
      </c>
      <c r="G100" s="253">
        <v>45853</v>
      </c>
    </row>
    <row r="101" spans="1:7" ht="23.25">
      <c r="A101" s="192">
        <v>11</v>
      </c>
      <c r="B101" s="191" t="s">
        <v>42</v>
      </c>
      <c r="C101" s="190" t="s">
        <v>43</v>
      </c>
      <c r="D101" s="189">
        <v>3</v>
      </c>
      <c r="E101" s="188">
        <v>8962744280</v>
      </c>
      <c r="F101" s="198">
        <v>1300</v>
      </c>
      <c r="G101" s="253">
        <v>45853</v>
      </c>
    </row>
    <row r="102" spans="1:7" ht="23.25">
      <c r="A102" s="192">
        <v>12</v>
      </c>
      <c r="B102" s="191" t="s">
        <v>44</v>
      </c>
      <c r="C102" s="190" t="s">
        <v>45</v>
      </c>
      <c r="D102" s="189">
        <v>3</v>
      </c>
      <c r="E102" s="188">
        <v>9749543529</v>
      </c>
      <c r="F102" s="198">
        <v>1300</v>
      </c>
      <c r="G102" s="253">
        <v>45853</v>
      </c>
    </row>
    <row r="103" spans="1:7" ht="23.25">
      <c r="A103" s="192">
        <v>13</v>
      </c>
      <c r="B103" s="191" t="s">
        <v>46</v>
      </c>
      <c r="C103" s="190" t="s">
        <v>47</v>
      </c>
      <c r="D103" s="189">
        <v>2</v>
      </c>
      <c r="E103" s="188">
        <v>7001420328</v>
      </c>
      <c r="F103" s="198">
        <v>1000</v>
      </c>
      <c r="G103" s="253">
        <v>45853</v>
      </c>
    </row>
    <row r="104" spans="1:7" ht="23.25">
      <c r="A104" s="192">
        <v>15</v>
      </c>
      <c r="B104" s="191" t="s">
        <v>49</v>
      </c>
      <c r="C104" s="190" t="s">
        <v>50</v>
      </c>
      <c r="D104" s="189">
        <v>3</v>
      </c>
      <c r="E104" s="188">
        <v>8918008545</v>
      </c>
      <c r="F104" s="198">
        <v>1300</v>
      </c>
      <c r="G104" s="253">
        <v>45853</v>
      </c>
    </row>
    <row r="105" spans="1:7" ht="23.25">
      <c r="A105" s="192">
        <v>16</v>
      </c>
      <c r="B105" s="191" t="s">
        <v>51</v>
      </c>
      <c r="C105" s="190" t="s">
        <v>52</v>
      </c>
      <c r="D105" s="189">
        <v>3</v>
      </c>
      <c r="E105" s="188">
        <v>8967856644</v>
      </c>
      <c r="F105" s="198">
        <v>1300</v>
      </c>
      <c r="G105" s="253">
        <v>45853</v>
      </c>
    </row>
    <row r="106" spans="1:7" ht="23.25">
      <c r="A106" s="192">
        <v>17</v>
      </c>
      <c r="B106" s="191" t="s">
        <v>53</v>
      </c>
      <c r="C106" s="190" t="s">
        <v>54</v>
      </c>
      <c r="D106" s="189">
        <v>2</v>
      </c>
      <c r="E106" s="188">
        <v>8436193278</v>
      </c>
      <c r="F106" s="198">
        <v>1000</v>
      </c>
      <c r="G106" s="253">
        <v>45853</v>
      </c>
    </row>
    <row r="107" spans="1:7" ht="23.25">
      <c r="A107" s="188">
        <v>20</v>
      </c>
      <c r="B107" s="197" t="s">
        <v>57</v>
      </c>
      <c r="C107" s="196" t="s">
        <v>58</v>
      </c>
      <c r="D107" s="196">
        <v>3</v>
      </c>
      <c r="E107" s="195">
        <v>9474039781</v>
      </c>
      <c r="F107" s="204">
        <v>1300</v>
      </c>
      <c r="G107" s="243">
        <v>45853</v>
      </c>
    </row>
    <row r="108" spans="1:7" ht="23.25">
      <c r="A108" s="192">
        <v>21</v>
      </c>
      <c r="B108" s="191" t="s">
        <v>59</v>
      </c>
      <c r="C108" s="190" t="s">
        <v>60</v>
      </c>
      <c r="D108" s="189">
        <v>2</v>
      </c>
      <c r="E108" s="188">
        <v>8789747535</v>
      </c>
      <c r="F108" s="198">
        <v>1000</v>
      </c>
      <c r="G108" s="253">
        <v>45853</v>
      </c>
    </row>
    <row r="109" spans="1:7" ht="23.25">
      <c r="A109" s="192">
        <v>22</v>
      </c>
      <c r="B109" s="191" t="s">
        <v>61</v>
      </c>
      <c r="C109" s="190" t="s">
        <v>62</v>
      </c>
      <c r="D109" s="189">
        <v>2</v>
      </c>
      <c r="E109" s="188">
        <v>9732006006</v>
      </c>
      <c r="F109" s="198">
        <v>1000</v>
      </c>
      <c r="G109" s="253">
        <v>45853</v>
      </c>
    </row>
    <row r="110" spans="1:7" ht="23.25">
      <c r="A110" s="192">
        <v>23</v>
      </c>
      <c r="B110" s="191" t="s">
        <v>63</v>
      </c>
      <c r="C110" s="190" t="s">
        <v>64</v>
      </c>
      <c r="D110" s="189">
        <v>3</v>
      </c>
      <c r="E110" s="188">
        <v>8927777001</v>
      </c>
      <c r="F110" s="198">
        <v>1300</v>
      </c>
      <c r="G110" s="253">
        <v>45853</v>
      </c>
    </row>
    <row r="111" spans="1:7" ht="46.5">
      <c r="A111" s="192">
        <v>24</v>
      </c>
      <c r="B111" s="191" t="s">
        <v>65</v>
      </c>
      <c r="C111" s="190" t="s">
        <v>66</v>
      </c>
      <c r="D111" s="189">
        <v>3</v>
      </c>
      <c r="E111" s="207" t="s">
        <v>241</v>
      </c>
      <c r="F111" s="198">
        <v>1300</v>
      </c>
      <c r="G111" s="253">
        <v>45853</v>
      </c>
    </row>
    <row r="112" spans="1:7" ht="23.25">
      <c r="A112" s="192">
        <v>25</v>
      </c>
      <c r="B112" s="191" t="s">
        <v>67</v>
      </c>
      <c r="C112" s="190" t="s">
        <v>68</v>
      </c>
      <c r="D112" s="189">
        <v>2</v>
      </c>
      <c r="E112" s="188">
        <v>9775033283</v>
      </c>
      <c r="F112" s="198">
        <v>1000</v>
      </c>
      <c r="G112" s="253">
        <v>45853</v>
      </c>
    </row>
    <row r="113" spans="1:7" ht="23.25">
      <c r="A113" s="192">
        <v>27</v>
      </c>
      <c r="B113" s="191" t="s">
        <v>70</v>
      </c>
      <c r="C113" s="190" t="s">
        <v>71</v>
      </c>
      <c r="D113" s="189">
        <v>3</v>
      </c>
      <c r="E113" s="188">
        <v>9007993440</v>
      </c>
      <c r="F113" s="198">
        <v>1300</v>
      </c>
      <c r="G113" s="253">
        <v>45853</v>
      </c>
    </row>
    <row r="114" spans="1:7" ht="23.25">
      <c r="A114" s="192">
        <v>28</v>
      </c>
      <c r="B114" s="191" t="s">
        <v>72</v>
      </c>
      <c r="C114" s="190" t="s">
        <v>73</v>
      </c>
      <c r="D114" s="189">
        <v>3</v>
      </c>
      <c r="E114" s="188">
        <v>9851121248</v>
      </c>
      <c r="F114" s="198">
        <v>1300</v>
      </c>
      <c r="G114" s="253">
        <v>45853</v>
      </c>
    </row>
    <row r="115" spans="1:7" ht="23.25">
      <c r="A115" s="192">
        <v>29</v>
      </c>
      <c r="B115" s="191" t="s">
        <v>74</v>
      </c>
      <c r="C115" s="190" t="s">
        <v>75</v>
      </c>
      <c r="D115" s="189">
        <v>2</v>
      </c>
      <c r="E115" s="188">
        <v>7908578532</v>
      </c>
      <c r="F115" s="198">
        <v>1000</v>
      </c>
      <c r="G115" s="253">
        <v>45853</v>
      </c>
    </row>
    <row r="116" spans="1:7" ht="23.25">
      <c r="A116" s="188">
        <v>30</v>
      </c>
      <c r="B116" s="197" t="s">
        <v>76</v>
      </c>
      <c r="C116" s="196" t="s">
        <v>77</v>
      </c>
      <c r="D116" s="196">
        <v>2</v>
      </c>
      <c r="E116" s="195">
        <v>8637853169</v>
      </c>
      <c r="F116" s="204">
        <v>1000</v>
      </c>
      <c r="G116" s="243">
        <v>45853</v>
      </c>
    </row>
    <row r="117" spans="1:7" ht="23.25">
      <c r="A117" s="192">
        <v>31</v>
      </c>
      <c r="B117" s="191" t="s">
        <v>78</v>
      </c>
      <c r="C117" s="190" t="s">
        <v>79</v>
      </c>
      <c r="D117" s="189">
        <v>3</v>
      </c>
      <c r="E117" s="188">
        <v>9434101485</v>
      </c>
      <c r="F117" s="198">
        <v>1300</v>
      </c>
      <c r="G117" s="253">
        <v>45853</v>
      </c>
    </row>
    <row r="118" spans="1:7" ht="23.25">
      <c r="A118" s="192">
        <v>33</v>
      </c>
      <c r="B118" s="191" t="s">
        <v>81</v>
      </c>
      <c r="C118" s="190" t="s">
        <v>82</v>
      </c>
      <c r="D118" s="189">
        <v>2</v>
      </c>
      <c r="E118" s="188">
        <v>9749449845</v>
      </c>
      <c r="F118" s="252">
        <v>1000</v>
      </c>
      <c r="G118" s="273">
        <v>45853</v>
      </c>
    </row>
    <row r="119" spans="1:7" ht="23.25">
      <c r="A119" s="192">
        <v>34</v>
      </c>
      <c r="B119" s="191" t="s">
        <v>83</v>
      </c>
      <c r="C119" s="190" t="s">
        <v>84</v>
      </c>
      <c r="D119" s="189">
        <v>2</v>
      </c>
      <c r="E119" s="188">
        <v>9735135784</v>
      </c>
      <c r="F119" s="198">
        <v>1000</v>
      </c>
      <c r="G119" s="253">
        <v>45853</v>
      </c>
    </row>
    <row r="120" spans="1:7" ht="23.25">
      <c r="A120" s="192">
        <v>35</v>
      </c>
      <c r="B120" s="191" t="s">
        <v>85</v>
      </c>
      <c r="C120" s="190" t="s">
        <v>244</v>
      </c>
      <c r="D120" s="189" t="s">
        <v>25</v>
      </c>
      <c r="E120" s="188">
        <v>9474567580</v>
      </c>
      <c r="F120" s="266">
        <v>2300</v>
      </c>
      <c r="G120" s="253">
        <v>45853</v>
      </c>
    </row>
    <row r="121" spans="1:7" ht="23.25">
      <c r="A121" s="192">
        <v>36</v>
      </c>
      <c r="B121" s="191" t="s">
        <v>87</v>
      </c>
      <c r="C121" s="190" t="s">
        <v>88</v>
      </c>
      <c r="D121" s="189">
        <v>3</v>
      </c>
      <c r="E121" s="188">
        <v>9836087162</v>
      </c>
      <c r="F121" s="198">
        <v>1300</v>
      </c>
      <c r="G121" s="253">
        <v>45853</v>
      </c>
    </row>
    <row r="122" spans="1:7" ht="23.25">
      <c r="A122" s="192">
        <v>37</v>
      </c>
      <c r="B122" s="191" t="s">
        <v>89</v>
      </c>
      <c r="C122" s="190" t="s">
        <v>90</v>
      </c>
      <c r="D122" s="189">
        <v>2</v>
      </c>
      <c r="E122" s="188">
        <v>8101850717</v>
      </c>
      <c r="F122" s="198">
        <v>1000</v>
      </c>
      <c r="G122" s="253">
        <v>45853</v>
      </c>
    </row>
    <row r="123" spans="1:7" ht="23.25">
      <c r="A123" s="192">
        <v>38</v>
      </c>
      <c r="B123" s="191" t="s">
        <v>91</v>
      </c>
      <c r="C123" s="190" t="s">
        <v>92</v>
      </c>
      <c r="D123" s="189">
        <v>3</v>
      </c>
      <c r="E123" s="188">
        <v>8318151358</v>
      </c>
      <c r="F123" s="198">
        <v>1300</v>
      </c>
      <c r="G123" s="253">
        <v>45853</v>
      </c>
    </row>
    <row r="124" spans="1:7" ht="23.25">
      <c r="A124" s="188">
        <v>39</v>
      </c>
      <c r="B124" s="197" t="s">
        <v>93</v>
      </c>
      <c r="C124" s="196" t="s">
        <v>94</v>
      </c>
      <c r="D124" s="196">
        <v>3</v>
      </c>
      <c r="E124" s="195">
        <v>6296936814</v>
      </c>
      <c r="F124" s="204">
        <v>1300</v>
      </c>
      <c r="G124" s="243">
        <v>45853</v>
      </c>
    </row>
    <row r="125" spans="1:7" ht="23.25">
      <c r="A125" s="192">
        <v>40</v>
      </c>
      <c r="B125" s="191" t="s">
        <v>95</v>
      </c>
      <c r="C125" s="190" t="s">
        <v>96</v>
      </c>
      <c r="D125" s="189">
        <v>2</v>
      </c>
      <c r="E125" s="188">
        <v>9531571901</v>
      </c>
      <c r="F125" s="198">
        <v>1000</v>
      </c>
      <c r="G125" s="253">
        <v>45853</v>
      </c>
    </row>
    <row r="126" spans="1:7" ht="23.25">
      <c r="A126" s="192">
        <v>42</v>
      </c>
      <c r="B126" s="191" t="s">
        <v>98</v>
      </c>
      <c r="C126" s="190" t="s">
        <v>99</v>
      </c>
      <c r="D126" s="189">
        <v>3</v>
      </c>
      <c r="E126" s="188">
        <v>7680914260</v>
      </c>
      <c r="F126" s="198">
        <v>1300</v>
      </c>
      <c r="G126" s="253">
        <v>45853</v>
      </c>
    </row>
    <row r="127" spans="1:7" ht="23.25">
      <c r="A127" s="192">
        <v>46</v>
      </c>
      <c r="B127" s="191" t="s">
        <v>103</v>
      </c>
      <c r="C127" s="190" t="s">
        <v>104</v>
      </c>
      <c r="D127" s="189">
        <v>3</v>
      </c>
      <c r="E127" s="188">
        <v>7908182143</v>
      </c>
      <c r="F127" s="187">
        <v>1300</v>
      </c>
      <c r="G127" s="253">
        <v>45938</v>
      </c>
    </row>
    <row r="128" spans="1:7" ht="23.25">
      <c r="A128" s="192">
        <v>47</v>
      </c>
      <c r="B128" s="191" t="s">
        <v>105</v>
      </c>
      <c r="C128" s="190" t="s">
        <v>106</v>
      </c>
      <c r="D128" s="189">
        <v>3</v>
      </c>
      <c r="E128" s="188">
        <v>9933918646</v>
      </c>
      <c r="F128" s="198">
        <v>1300</v>
      </c>
      <c r="G128" s="253">
        <v>45853</v>
      </c>
    </row>
    <row r="129" spans="1:7" ht="23.25">
      <c r="A129" s="192">
        <v>50</v>
      </c>
      <c r="B129" s="191" t="s">
        <v>109</v>
      </c>
      <c r="C129" s="190" t="s">
        <v>110</v>
      </c>
      <c r="D129" s="189">
        <v>3</v>
      </c>
      <c r="E129" s="188">
        <v>9681710268</v>
      </c>
      <c r="F129" s="198">
        <v>1300</v>
      </c>
      <c r="G129" s="253">
        <v>45853</v>
      </c>
    </row>
    <row r="130" spans="1:7" ht="23.25">
      <c r="A130" s="192">
        <v>51</v>
      </c>
      <c r="B130" s="191" t="s">
        <v>111</v>
      </c>
      <c r="C130" s="190" t="s">
        <v>112</v>
      </c>
      <c r="D130" s="189">
        <v>3</v>
      </c>
      <c r="E130" s="188">
        <v>9434216284</v>
      </c>
      <c r="F130" s="252">
        <v>1300</v>
      </c>
      <c r="G130" s="273">
        <v>45853</v>
      </c>
    </row>
    <row r="131" spans="1:7" ht="23.25">
      <c r="A131" s="192">
        <v>52</v>
      </c>
      <c r="B131" s="191" t="s">
        <v>113</v>
      </c>
      <c r="C131" s="190" t="s">
        <v>114</v>
      </c>
      <c r="D131" s="189">
        <v>2</v>
      </c>
      <c r="E131" s="188">
        <v>9458208175</v>
      </c>
      <c r="F131" s="252">
        <v>1000</v>
      </c>
      <c r="G131" s="273">
        <v>45853</v>
      </c>
    </row>
    <row r="132" spans="1:7" ht="23.25">
      <c r="A132" s="192">
        <v>58</v>
      </c>
      <c r="B132" s="191" t="s">
        <v>120</v>
      </c>
      <c r="C132" s="190" t="s">
        <v>121</v>
      </c>
      <c r="D132" s="189">
        <v>3</v>
      </c>
      <c r="E132" s="188">
        <v>9681429435</v>
      </c>
      <c r="F132" s="198">
        <v>1300</v>
      </c>
      <c r="G132" s="277"/>
    </row>
    <row r="133" spans="1:7" ht="23.25">
      <c r="A133" s="188">
        <v>59</v>
      </c>
      <c r="B133" s="197" t="s">
        <v>122</v>
      </c>
      <c r="C133" s="196" t="s">
        <v>123</v>
      </c>
      <c r="D133" s="196">
        <v>3</v>
      </c>
      <c r="E133" s="195">
        <v>7908970236</v>
      </c>
      <c r="F133" s="204">
        <v>1300</v>
      </c>
      <c r="G133" s="278"/>
    </row>
    <row r="134" spans="1:7" ht="23.25">
      <c r="A134" s="192">
        <v>60</v>
      </c>
      <c r="B134" s="191" t="s">
        <v>124</v>
      </c>
      <c r="C134" s="190" t="s">
        <v>125</v>
      </c>
      <c r="D134" s="189">
        <v>2</v>
      </c>
      <c r="E134" s="188">
        <v>9046420491</v>
      </c>
      <c r="F134" s="198">
        <v>1000</v>
      </c>
      <c r="G134" s="277"/>
    </row>
    <row r="135" spans="1:7" ht="23.25">
      <c r="A135" s="192">
        <v>1</v>
      </c>
      <c r="B135" s="191" t="s">
        <v>26</v>
      </c>
      <c r="C135" s="190" t="s">
        <v>27</v>
      </c>
      <c r="D135" s="189">
        <v>3</v>
      </c>
      <c r="E135" s="188">
        <v>9609688683</v>
      </c>
      <c r="F135" s="198">
        <v>1300</v>
      </c>
      <c r="G135" s="253">
        <v>45884</v>
      </c>
    </row>
    <row r="136" spans="1:7" ht="23.25">
      <c r="A136" s="192">
        <v>2</v>
      </c>
      <c r="B136" s="191" t="s">
        <v>28</v>
      </c>
      <c r="C136" s="190" t="s">
        <v>29</v>
      </c>
      <c r="D136" s="189">
        <v>3</v>
      </c>
      <c r="E136" s="188">
        <v>7557076444</v>
      </c>
      <c r="F136" s="252">
        <v>1300</v>
      </c>
      <c r="G136" s="273">
        <v>45884</v>
      </c>
    </row>
    <row r="137" spans="1:7" ht="23.25">
      <c r="A137" s="192">
        <v>3</v>
      </c>
      <c r="B137" s="191" t="s">
        <v>30</v>
      </c>
      <c r="C137" s="190" t="s">
        <v>31</v>
      </c>
      <c r="D137" s="189">
        <v>2</v>
      </c>
      <c r="E137" s="188">
        <v>8001604274</v>
      </c>
      <c r="F137" s="198">
        <v>1000</v>
      </c>
      <c r="G137" s="253">
        <v>45884</v>
      </c>
    </row>
    <row r="138" spans="1:7" ht="23.25">
      <c r="A138" s="192">
        <v>4</v>
      </c>
      <c r="B138" s="248" t="s">
        <v>20</v>
      </c>
      <c r="C138" s="190" t="s">
        <v>32</v>
      </c>
      <c r="D138" s="189">
        <v>2</v>
      </c>
      <c r="E138" s="207"/>
      <c r="F138" s="198">
        <f>1000+17200</f>
        <v>18200</v>
      </c>
      <c r="G138" s="253">
        <v>45884</v>
      </c>
    </row>
    <row r="139" spans="1:7" ht="23.25">
      <c r="A139" s="192">
        <v>5</v>
      </c>
      <c r="B139" s="191" t="s">
        <v>33</v>
      </c>
      <c r="C139" s="190" t="s">
        <v>34</v>
      </c>
      <c r="D139" s="189">
        <v>3</v>
      </c>
      <c r="E139" s="188">
        <v>9434115212</v>
      </c>
      <c r="F139" s="198">
        <v>1300</v>
      </c>
      <c r="G139" s="253">
        <v>45884</v>
      </c>
    </row>
    <row r="140" spans="1:7" ht="23.25">
      <c r="A140" s="192">
        <v>6</v>
      </c>
      <c r="B140" s="191" t="s">
        <v>35</v>
      </c>
      <c r="C140" s="190" t="s">
        <v>243</v>
      </c>
      <c r="D140" s="189" t="s">
        <v>24</v>
      </c>
      <c r="E140" s="188">
        <v>9474561244</v>
      </c>
      <c r="F140" s="198">
        <v>2300</v>
      </c>
      <c r="G140" s="253">
        <v>45884</v>
      </c>
    </row>
    <row r="141" spans="1:7" ht="23.25">
      <c r="A141" s="192">
        <v>7</v>
      </c>
      <c r="B141" s="228" t="s">
        <v>1</v>
      </c>
      <c r="C141" s="190" t="s">
        <v>37</v>
      </c>
      <c r="D141" s="189">
        <v>2</v>
      </c>
      <c r="E141" s="207">
        <v>9475044158</v>
      </c>
      <c r="F141" s="198">
        <v>1000</v>
      </c>
      <c r="G141" s="253">
        <v>45884</v>
      </c>
    </row>
    <row r="142" spans="1:7" ht="23.25">
      <c r="A142" s="188">
        <v>8</v>
      </c>
      <c r="B142" s="197" t="s">
        <v>0</v>
      </c>
      <c r="C142" s="196" t="s">
        <v>242</v>
      </c>
      <c r="D142" s="196" t="s">
        <v>24</v>
      </c>
      <c r="E142" s="195">
        <v>9933111420</v>
      </c>
      <c r="F142" s="204">
        <v>2300</v>
      </c>
      <c r="G142" s="243">
        <v>45884</v>
      </c>
    </row>
    <row r="143" spans="1:7" ht="23.25">
      <c r="A143" s="192">
        <v>9</v>
      </c>
      <c r="B143" s="191" t="s">
        <v>39</v>
      </c>
      <c r="C143" s="190" t="s">
        <v>40</v>
      </c>
      <c r="D143" s="189">
        <v>3</v>
      </c>
      <c r="E143" s="188">
        <v>9427221065</v>
      </c>
      <c r="F143" s="198">
        <v>1300</v>
      </c>
      <c r="G143" s="253">
        <v>45884</v>
      </c>
    </row>
    <row r="144" spans="1:7" ht="23.25">
      <c r="A144" s="192">
        <v>11</v>
      </c>
      <c r="B144" s="191" t="s">
        <v>42</v>
      </c>
      <c r="C144" s="190" t="s">
        <v>43</v>
      </c>
      <c r="D144" s="189">
        <v>3</v>
      </c>
      <c r="E144" s="188">
        <v>8962744280</v>
      </c>
      <c r="F144" s="198">
        <v>1300</v>
      </c>
      <c r="G144" s="253">
        <v>45884</v>
      </c>
    </row>
    <row r="145" spans="1:7" ht="23.25">
      <c r="A145" s="192">
        <v>12</v>
      </c>
      <c r="B145" s="191" t="s">
        <v>44</v>
      </c>
      <c r="C145" s="190" t="s">
        <v>45</v>
      </c>
      <c r="D145" s="189">
        <v>3</v>
      </c>
      <c r="E145" s="188">
        <v>9749543529</v>
      </c>
      <c r="F145" s="198">
        <v>1300</v>
      </c>
      <c r="G145" s="253">
        <v>45884</v>
      </c>
    </row>
    <row r="146" spans="1:7" ht="23.25">
      <c r="A146" s="192">
        <v>13</v>
      </c>
      <c r="B146" s="191" t="s">
        <v>46</v>
      </c>
      <c r="C146" s="190" t="s">
        <v>47</v>
      </c>
      <c r="D146" s="189">
        <v>2</v>
      </c>
      <c r="E146" s="188">
        <v>7001420328</v>
      </c>
      <c r="F146" s="198">
        <v>1000</v>
      </c>
      <c r="G146" s="253">
        <v>45884</v>
      </c>
    </row>
    <row r="147" spans="1:7" ht="23.25">
      <c r="A147" s="192">
        <v>15</v>
      </c>
      <c r="B147" s="191" t="s">
        <v>49</v>
      </c>
      <c r="C147" s="190" t="s">
        <v>50</v>
      </c>
      <c r="D147" s="189">
        <v>3</v>
      </c>
      <c r="E147" s="188">
        <v>8918008545</v>
      </c>
      <c r="F147" s="198">
        <v>1300</v>
      </c>
      <c r="G147" s="253">
        <v>45884</v>
      </c>
    </row>
    <row r="148" spans="1:7" ht="23.25">
      <c r="A148" s="192">
        <v>16</v>
      </c>
      <c r="B148" s="191" t="s">
        <v>51</v>
      </c>
      <c r="C148" s="190" t="s">
        <v>52</v>
      </c>
      <c r="D148" s="189">
        <v>3</v>
      </c>
      <c r="E148" s="188">
        <v>8967856644</v>
      </c>
      <c r="F148" s="198">
        <v>1300</v>
      </c>
      <c r="G148" s="253">
        <v>45884</v>
      </c>
    </row>
    <row r="149" spans="1:7" ht="23.25">
      <c r="A149" s="192">
        <v>17</v>
      </c>
      <c r="B149" s="191" t="s">
        <v>53</v>
      </c>
      <c r="C149" s="190" t="s">
        <v>54</v>
      </c>
      <c r="D149" s="189">
        <v>2</v>
      </c>
      <c r="E149" s="188">
        <v>8436193278</v>
      </c>
      <c r="F149" s="198">
        <v>1000</v>
      </c>
      <c r="G149" s="253">
        <v>45884</v>
      </c>
    </row>
    <row r="150" spans="1:7" ht="23.25">
      <c r="A150" s="192">
        <v>20</v>
      </c>
      <c r="B150" s="191" t="s">
        <v>57</v>
      </c>
      <c r="C150" s="190" t="s">
        <v>58</v>
      </c>
      <c r="D150" s="189">
        <v>3</v>
      </c>
      <c r="E150" s="188">
        <v>9474039781</v>
      </c>
      <c r="F150" s="198">
        <v>1300</v>
      </c>
      <c r="G150" s="253">
        <v>45884</v>
      </c>
    </row>
    <row r="151" spans="1:7" ht="23.25">
      <c r="A151" s="217">
        <v>21</v>
      </c>
      <c r="B151" s="216" t="s">
        <v>59</v>
      </c>
      <c r="C151" s="215" t="s">
        <v>60</v>
      </c>
      <c r="D151" s="214">
        <v>2</v>
      </c>
      <c r="E151" s="213">
        <v>8789747535</v>
      </c>
      <c r="F151" s="218">
        <v>1000</v>
      </c>
      <c r="G151" s="268">
        <v>45884</v>
      </c>
    </row>
    <row r="152" spans="1:7" ht="23.25">
      <c r="A152" s="192">
        <v>22</v>
      </c>
      <c r="B152" s="216" t="s">
        <v>61</v>
      </c>
      <c r="C152" s="215" t="s">
        <v>62</v>
      </c>
      <c r="D152" s="214">
        <v>2</v>
      </c>
      <c r="E152" s="213">
        <v>9732006006</v>
      </c>
      <c r="F152" s="218">
        <v>1000</v>
      </c>
      <c r="G152" s="268">
        <v>45884</v>
      </c>
    </row>
    <row r="153" spans="1:7" ht="23.25">
      <c r="A153" s="217">
        <v>23</v>
      </c>
      <c r="B153" s="216" t="s">
        <v>63</v>
      </c>
      <c r="C153" s="215" t="s">
        <v>64</v>
      </c>
      <c r="D153" s="214">
        <v>3</v>
      </c>
      <c r="E153" s="213">
        <v>8927777001</v>
      </c>
      <c r="F153" s="218">
        <v>1300</v>
      </c>
      <c r="G153" s="268">
        <v>45884</v>
      </c>
    </row>
    <row r="154" spans="1:7" ht="46.5">
      <c r="A154" s="217">
        <v>24</v>
      </c>
      <c r="B154" s="216" t="s">
        <v>65</v>
      </c>
      <c r="C154" s="215" t="s">
        <v>66</v>
      </c>
      <c r="D154" s="214">
        <v>3</v>
      </c>
      <c r="E154" s="219" t="s">
        <v>241</v>
      </c>
      <c r="F154" s="218">
        <v>1300</v>
      </c>
      <c r="G154" s="268">
        <v>45884</v>
      </c>
    </row>
    <row r="155" spans="1:7" ht="23.25">
      <c r="A155" s="208">
        <v>25</v>
      </c>
      <c r="B155" s="210" t="s">
        <v>67</v>
      </c>
      <c r="C155" s="209" t="s">
        <v>68</v>
      </c>
      <c r="D155" s="209">
        <v>2</v>
      </c>
      <c r="E155" s="208">
        <v>9775033283</v>
      </c>
      <c r="F155" s="198">
        <v>1000</v>
      </c>
      <c r="G155" s="253">
        <v>45884</v>
      </c>
    </row>
    <row r="156" spans="1:7" ht="23.25">
      <c r="A156" s="192">
        <v>27</v>
      </c>
      <c r="B156" s="191" t="s">
        <v>70</v>
      </c>
      <c r="C156" s="190" t="s">
        <v>71</v>
      </c>
      <c r="D156" s="189">
        <v>3</v>
      </c>
      <c r="E156" s="188">
        <v>9007993440</v>
      </c>
      <c r="F156" s="198">
        <v>1300</v>
      </c>
      <c r="G156" s="253">
        <v>45884</v>
      </c>
    </row>
    <row r="157" spans="1:7" ht="23.25">
      <c r="A157" s="192">
        <v>28</v>
      </c>
      <c r="B157" s="191" t="s">
        <v>72</v>
      </c>
      <c r="C157" s="190" t="s">
        <v>73</v>
      </c>
      <c r="D157" s="189">
        <v>3</v>
      </c>
      <c r="E157" s="188">
        <v>9851121248</v>
      </c>
      <c r="F157" s="198">
        <v>1300</v>
      </c>
      <c r="G157" s="253">
        <v>45884</v>
      </c>
    </row>
    <row r="158" spans="1:7" ht="23.25">
      <c r="A158" s="192">
        <v>29</v>
      </c>
      <c r="B158" s="191" t="s">
        <v>74</v>
      </c>
      <c r="C158" s="190" t="s">
        <v>75</v>
      </c>
      <c r="D158" s="189">
        <v>2</v>
      </c>
      <c r="E158" s="188">
        <v>7908578532</v>
      </c>
      <c r="F158" s="198">
        <v>1000</v>
      </c>
      <c r="G158" s="253">
        <v>45884</v>
      </c>
    </row>
    <row r="159" spans="1:7" ht="23.25">
      <c r="A159" s="192">
        <v>30</v>
      </c>
      <c r="B159" s="191" t="s">
        <v>76</v>
      </c>
      <c r="C159" s="190" t="s">
        <v>77</v>
      </c>
      <c r="D159" s="189">
        <v>2</v>
      </c>
      <c r="E159" s="188">
        <v>8637853169</v>
      </c>
      <c r="F159" s="198">
        <v>1000</v>
      </c>
      <c r="G159" s="253">
        <v>45884</v>
      </c>
    </row>
    <row r="160" spans="1:7" ht="23.25">
      <c r="A160" s="192">
        <v>31</v>
      </c>
      <c r="B160" s="191" t="s">
        <v>78</v>
      </c>
      <c r="C160" s="190" t="s">
        <v>79</v>
      </c>
      <c r="D160" s="189">
        <v>3</v>
      </c>
      <c r="E160" s="188">
        <v>9434101485</v>
      </c>
      <c r="F160" s="198">
        <v>1300</v>
      </c>
      <c r="G160" s="253">
        <v>45884</v>
      </c>
    </row>
    <row r="161" spans="1:7" ht="23.25">
      <c r="A161" s="192">
        <v>33</v>
      </c>
      <c r="B161" s="191" t="s">
        <v>81</v>
      </c>
      <c r="C161" s="190" t="s">
        <v>82</v>
      </c>
      <c r="D161" s="189">
        <v>2</v>
      </c>
      <c r="E161" s="188">
        <v>9749449845</v>
      </c>
      <c r="F161" s="198">
        <v>1000</v>
      </c>
      <c r="G161" s="253">
        <v>45884</v>
      </c>
    </row>
    <row r="162" spans="1:7" ht="23.25">
      <c r="A162" s="192">
        <v>34</v>
      </c>
      <c r="B162" s="191" t="s">
        <v>83</v>
      </c>
      <c r="C162" s="190" t="s">
        <v>84</v>
      </c>
      <c r="D162" s="189">
        <v>2</v>
      </c>
      <c r="E162" s="188">
        <v>9735135784</v>
      </c>
      <c r="F162" s="198">
        <v>1000</v>
      </c>
      <c r="G162" s="253">
        <v>45884</v>
      </c>
    </row>
    <row r="163" spans="1:7" ht="23.25">
      <c r="A163" s="192">
        <v>35</v>
      </c>
      <c r="B163" s="191" t="s">
        <v>85</v>
      </c>
      <c r="C163" s="190" t="s">
        <v>244</v>
      </c>
      <c r="D163" s="189" t="s">
        <v>25</v>
      </c>
      <c r="E163" s="188">
        <v>9474567580</v>
      </c>
      <c r="F163" s="266">
        <v>2300</v>
      </c>
      <c r="G163" s="253">
        <v>45884</v>
      </c>
    </row>
    <row r="164" spans="1:7" ht="23.25">
      <c r="A164" s="188">
        <v>36</v>
      </c>
      <c r="B164" s="197" t="s">
        <v>87</v>
      </c>
      <c r="C164" s="196" t="s">
        <v>88</v>
      </c>
      <c r="D164" s="196">
        <v>3</v>
      </c>
      <c r="E164" s="195">
        <v>9836087162</v>
      </c>
      <c r="F164" s="258">
        <v>1300</v>
      </c>
      <c r="G164" s="267">
        <v>45884</v>
      </c>
    </row>
    <row r="165" spans="1:7" ht="23.25">
      <c r="A165" s="192">
        <v>37</v>
      </c>
      <c r="B165" s="191" t="s">
        <v>89</v>
      </c>
      <c r="C165" s="190" t="s">
        <v>90</v>
      </c>
      <c r="D165" s="189">
        <v>2</v>
      </c>
      <c r="E165" s="188">
        <v>8101850717</v>
      </c>
      <c r="F165" s="198">
        <v>1000</v>
      </c>
      <c r="G165" s="253">
        <v>45884</v>
      </c>
    </row>
    <row r="166" spans="1:7" ht="23.25">
      <c r="A166" s="192">
        <v>38</v>
      </c>
      <c r="B166" s="191" t="s">
        <v>91</v>
      </c>
      <c r="C166" s="190" t="s">
        <v>92</v>
      </c>
      <c r="D166" s="189">
        <v>3</v>
      </c>
      <c r="E166" s="188">
        <v>8318151358</v>
      </c>
      <c r="F166" s="198">
        <v>1300</v>
      </c>
      <c r="G166" s="253">
        <v>45884</v>
      </c>
    </row>
    <row r="167" spans="1:7" ht="23.25">
      <c r="A167" s="192">
        <v>39</v>
      </c>
      <c r="B167" s="191" t="s">
        <v>93</v>
      </c>
      <c r="C167" s="190" t="s">
        <v>94</v>
      </c>
      <c r="D167" s="189">
        <v>3</v>
      </c>
      <c r="E167" s="188">
        <v>6296936814</v>
      </c>
      <c r="F167" s="198">
        <v>1300</v>
      </c>
      <c r="G167" s="253">
        <v>45884</v>
      </c>
    </row>
    <row r="168" spans="1:7" ht="23.25">
      <c r="A168" s="192">
        <v>40</v>
      </c>
      <c r="B168" s="191" t="s">
        <v>95</v>
      </c>
      <c r="C168" s="190" t="s">
        <v>96</v>
      </c>
      <c r="D168" s="189">
        <v>2</v>
      </c>
      <c r="E168" s="188">
        <v>9531571901</v>
      </c>
      <c r="F168" s="198">
        <v>1000</v>
      </c>
      <c r="G168" s="253">
        <v>45884</v>
      </c>
    </row>
    <row r="169" spans="1:7" ht="23.25">
      <c r="A169" s="192">
        <v>42</v>
      </c>
      <c r="B169" s="191" t="s">
        <v>98</v>
      </c>
      <c r="C169" s="190" t="s">
        <v>99</v>
      </c>
      <c r="D169" s="189">
        <v>3</v>
      </c>
      <c r="E169" s="188">
        <v>7680914260</v>
      </c>
      <c r="F169" s="198">
        <v>1300</v>
      </c>
      <c r="G169" s="253">
        <v>45884</v>
      </c>
    </row>
    <row r="170" spans="1:7" ht="23.25">
      <c r="A170" s="192">
        <v>46</v>
      </c>
      <c r="B170" s="191" t="s">
        <v>103</v>
      </c>
      <c r="C170" s="190" t="s">
        <v>104</v>
      </c>
      <c r="D170" s="189">
        <v>3</v>
      </c>
      <c r="E170" s="188">
        <v>7908182143</v>
      </c>
      <c r="F170" s="187">
        <v>1300</v>
      </c>
      <c r="G170" s="253">
        <v>45938</v>
      </c>
    </row>
    <row r="171" spans="1:7" ht="23.25">
      <c r="A171" s="192">
        <v>47</v>
      </c>
      <c r="B171" s="191" t="s">
        <v>105</v>
      </c>
      <c r="C171" s="190" t="s">
        <v>106</v>
      </c>
      <c r="D171" s="189">
        <v>3</v>
      </c>
      <c r="E171" s="188">
        <v>9933918646</v>
      </c>
      <c r="F171" s="198">
        <v>1300</v>
      </c>
      <c r="G171" s="253">
        <v>45884</v>
      </c>
    </row>
    <row r="172" spans="1:7" ht="23.25">
      <c r="A172" s="188">
        <v>50</v>
      </c>
      <c r="B172" s="197" t="s">
        <v>109</v>
      </c>
      <c r="C172" s="196" t="s">
        <v>110</v>
      </c>
      <c r="D172" s="196">
        <v>3</v>
      </c>
      <c r="E172" s="195">
        <v>9681710268</v>
      </c>
      <c r="F172" s="221">
        <v>1300</v>
      </c>
      <c r="G172" s="270">
        <v>45884</v>
      </c>
    </row>
    <row r="173" spans="1:7" ht="23.25">
      <c r="A173" s="192">
        <v>51</v>
      </c>
      <c r="B173" s="191" t="s">
        <v>111</v>
      </c>
      <c r="C173" s="190" t="s">
        <v>112</v>
      </c>
      <c r="D173" s="189">
        <v>3</v>
      </c>
      <c r="E173" s="188">
        <v>9434216284</v>
      </c>
      <c r="F173" s="198">
        <v>1300</v>
      </c>
      <c r="G173" s="253">
        <v>45884</v>
      </c>
    </row>
    <row r="174" spans="1:7" ht="23.25">
      <c r="A174" s="192">
        <v>52</v>
      </c>
      <c r="B174" s="191" t="s">
        <v>113</v>
      </c>
      <c r="C174" s="190" t="s">
        <v>114</v>
      </c>
      <c r="D174" s="189">
        <v>2</v>
      </c>
      <c r="E174" s="188">
        <v>9458208175</v>
      </c>
      <c r="F174" s="198">
        <v>1000</v>
      </c>
      <c r="G174" s="253">
        <v>45884</v>
      </c>
    </row>
    <row r="175" spans="1:7" ht="23.25">
      <c r="A175" s="192">
        <v>58</v>
      </c>
      <c r="B175" s="191" t="s">
        <v>120</v>
      </c>
      <c r="C175" s="190" t="s">
        <v>121</v>
      </c>
      <c r="D175" s="189">
        <v>3</v>
      </c>
      <c r="E175" s="188">
        <v>9681429435</v>
      </c>
      <c r="F175" s="198">
        <v>1300</v>
      </c>
      <c r="G175" s="253">
        <v>45884</v>
      </c>
    </row>
    <row r="176" spans="1:7" ht="23.25">
      <c r="A176" s="192">
        <v>59</v>
      </c>
      <c r="B176" s="191" t="s">
        <v>122</v>
      </c>
      <c r="C176" s="190" t="s">
        <v>123</v>
      </c>
      <c r="D176" s="189">
        <v>3</v>
      </c>
      <c r="E176" s="188">
        <v>7908970236</v>
      </c>
      <c r="F176" s="198">
        <v>1300</v>
      </c>
      <c r="G176" s="253">
        <v>45884</v>
      </c>
    </row>
    <row r="177" spans="1:7" ht="23.25">
      <c r="A177" s="192">
        <v>60</v>
      </c>
      <c r="B177" s="191" t="s">
        <v>124</v>
      </c>
      <c r="C177" s="190" t="s">
        <v>125</v>
      </c>
      <c r="D177" s="189">
        <v>2</v>
      </c>
      <c r="E177" s="188">
        <v>9046420491</v>
      </c>
      <c r="F177" s="198">
        <v>1000</v>
      </c>
      <c r="G177" s="253">
        <v>45884</v>
      </c>
    </row>
    <row r="178" spans="1:7" ht="23.25">
      <c r="A178" s="192">
        <v>1</v>
      </c>
      <c r="B178" s="191" t="s">
        <v>26</v>
      </c>
      <c r="C178" s="190" t="s">
        <v>27</v>
      </c>
      <c r="D178" s="189">
        <v>3</v>
      </c>
      <c r="E178" s="188">
        <v>9609688683</v>
      </c>
      <c r="F178" s="198">
        <v>1300</v>
      </c>
      <c r="G178" s="253">
        <v>45915</v>
      </c>
    </row>
    <row r="179" spans="1:7" ht="23.25">
      <c r="A179" s="192">
        <v>2</v>
      </c>
      <c r="B179" s="191" t="s">
        <v>28</v>
      </c>
      <c r="C179" s="190" t="s">
        <v>29</v>
      </c>
      <c r="D179" s="189">
        <v>3</v>
      </c>
      <c r="E179" s="188">
        <v>7557076444</v>
      </c>
      <c r="F179" s="198">
        <v>1300</v>
      </c>
      <c r="G179" s="253">
        <v>45915</v>
      </c>
    </row>
    <row r="180" spans="1:7" ht="23.25">
      <c r="A180" s="192">
        <v>3</v>
      </c>
      <c r="B180" s="191" t="s">
        <v>30</v>
      </c>
      <c r="C180" s="190" t="s">
        <v>31</v>
      </c>
      <c r="D180" s="189">
        <v>2</v>
      </c>
      <c r="E180" s="188">
        <v>8001604274</v>
      </c>
      <c r="F180" s="198">
        <v>1000</v>
      </c>
      <c r="G180" s="253">
        <v>45915</v>
      </c>
    </row>
    <row r="181" spans="1:7" ht="23.25">
      <c r="A181" s="188">
        <v>4</v>
      </c>
      <c r="B181" s="276" t="s">
        <v>20</v>
      </c>
      <c r="C181" s="196" t="s">
        <v>32</v>
      </c>
      <c r="D181" s="196">
        <v>2</v>
      </c>
      <c r="E181" s="255"/>
      <c r="F181" s="221">
        <v>1000</v>
      </c>
      <c r="G181" s="270">
        <v>45915</v>
      </c>
    </row>
    <row r="182" spans="1:7" ht="23.25">
      <c r="A182" s="192">
        <v>5</v>
      </c>
      <c r="B182" s="191" t="s">
        <v>33</v>
      </c>
      <c r="C182" s="190" t="s">
        <v>34</v>
      </c>
      <c r="D182" s="189">
        <v>3</v>
      </c>
      <c r="E182" s="188">
        <v>9434115212</v>
      </c>
      <c r="F182" s="198">
        <v>1300</v>
      </c>
      <c r="G182" s="253">
        <v>45915</v>
      </c>
    </row>
    <row r="183" spans="1:7" ht="23.25">
      <c r="A183" s="192">
        <v>6</v>
      </c>
      <c r="B183" s="191" t="s">
        <v>35</v>
      </c>
      <c r="C183" s="190" t="s">
        <v>243</v>
      </c>
      <c r="D183" s="189" t="s">
        <v>24</v>
      </c>
      <c r="E183" s="188">
        <v>9474561244</v>
      </c>
      <c r="F183" s="198">
        <v>2300</v>
      </c>
      <c r="G183" s="253">
        <v>45915</v>
      </c>
    </row>
    <row r="184" spans="1:7" ht="23.25">
      <c r="A184" s="192">
        <v>7</v>
      </c>
      <c r="B184" s="228" t="s">
        <v>1</v>
      </c>
      <c r="C184" s="190" t="s">
        <v>37</v>
      </c>
      <c r="D184" s="189">
        <v>2</v>
      </c>
      <c r="E184" s="207">
        <v>9475044158</v>
      </c>
      <c r="F184" s="198">
        <v>1000</v>
      </c>
      <c r="G184" s="253">
        <v>45915</v>
      </c>
    </row>
    <row r="185" spans="1:7" ht="23.25">
      <c r="A185" s="192">
        <v>8</v>
      </c>
      <c r="B185" s="191" t="s">
        <v>0</v>
      </c>
      <c r="C185" s="196" t="s">
        <v>242</v>
      </c>
      <c r="D185" s="189" t="s">
        <v>24</v>
      </c>
      <c r="E185" s="188">
        <v>9933111420</v>
      </c>
      <c r="F185" s="198">
        <v>2300</v>
      </c>
      <c r="G185" s="253">
        <v>45915</v>
      </c>
    </row>
    <row r="186" spans="1:7" ht="23.25">
      <c r="A186" s="192">
        <v>9</v>
      </c>
      <c r="B186" s="191" t="s">
        <v>39</v>
      </c>
      <c r="C186" s="190" t="s">
        <v>40</v>
      </c>
      <c r="D186" s="189">
        <v>3</v>
      </c>
      <c r="E186" s="188">
        <v>9427221065</v>
      </c>
      <c r="F186" s="198">
        <v>1300</v>
      </c>
      <c r="G186" s="253">
        <v>45915</v>
      </c>
    </row>
    <row r="187" spans="1:7" ht="23.25">
      <c r="A187" s="192">
        <v>11</v>
      </c>
      <c r="B187" s="191" t="s">
        <v>42</v>
      </c>
      <c r="C187" s="190" t="s">
        <v>43</v>
      </c>
      <c r="D187" s="189">
        <v>3</v>
      </c>
      <c r="E187" s="188">
        <v>8962744280</v>
      </c>
      <c r="F187" s="198">
        <v>1300</v>
      </c>
      <c r="G187" s="253">
        <v>45915</v>
      </c>
    </row>
    <row r="188" spans="1:7" ht="23.25">
      <c r="A188" s="192">
        <v>12</v>
      </c>
      <c r="B188" s="191" t="s">
        <v>44</v>
      </c>
      <c r="C188" s="190" t="s">
        <v>45</v>
      </c>
      <c r="D188" s="189">
        <v>3</v>
      </c>
      <c r="E188" s="188">
        <v>9749543529</v>
      </c>
      <c r="F188" s="198">
        <v>1300</v>
      </c>
      <c r="G188" s="253">
        <v>45915</v>
      </c>
    </row>
    <row r="189" spans="1:7" ht="23.25">
      <c r="A189" s="192">
        <v>13</v>
      </c>
      <c r="B189" s="191" t="s">
        <v>46</v>
      </c>
      <c r="C189" s="190" t="s">
        <v>47</v>
      </c>
      <c r="D189" s="189">
        <v>2</v>
      </c>
      <c r="E189" s="188">
        <v>7001420328</v>
      </c>
      <c r="F189" s="198">
        <v>1000</v>
      </c>
      <c r="G189" s="253">
        <v>45915</v>
      </c>
    </row>
    <row r="190" spans="1:7" ht="23.25">
      <c r="A190" s="188">
        <v>15</v>
      </c>
      <c r="B190" s="197" t="s">
        <v>49</v>
      </c>
      <c r="C190" s="196" t="s">
        <v>50</v>
      </c>
      <c r="D190" s="196">
        <v>3</v>
      </c>
      <c r="E190" s="195">
        <v>8918008545</v>
      </c>
      <c r="F190" s="221">
        <v>1300</v>
      </c>
      <c r="G190" s="270">
        <v>45915</v>
      </c>
    </row>
    <row r="191" spans="1:7" ht="23.25">
      <c r="A191" s="192">
        <v>16</v>
      </c>
      <c r="B191" s="191" t="s">
        <v>51</v>
      </c>
      <c r="C191" s="190" t="s">
        <v>52</v>
      </c>
      <c r="D191" s="189">
        <v>3</v>
      </c>
      <c r="E191" s="188">
        <v>8967856644</v>
      </c>
      <c r="F191" s="198">
        <v>1300</v>
      </c>
      <c r="G191" s="253">
        <v>45915</v>
      </c>
    </row>
    <row r="192" spans="1:7" ht="23.25">
      <c r="A192" s="192">
        <v>17</v>
      </c>
      <c r="B192" s="191" t="s">
        <v>53</v>
      </c>
      <c r="C192" s="190" t="s">
        <v>54</v>
      </c>
      <c r="D192" s="189">
        <v>2</v>
      </c>
      <c r="E192" s="188">
        <v>8436193278</v>
      </c>
      <c r="F192" s="252">
        <v>1000</v>
      </c>
      <c r="G192" s="273">
        <v>45915</v>
      </c>
    </row>
    <row r="193" spans="1:7" ht="23.25">
      <c r="A193" s="192">
        <v>20</v>
      </c>
      <c r="B193" s="191" t="s">
        <v>57</v>
      </c>
      <c r="C193" s="190" t="s">
        <v>58</v>
      </c>
      <c r="D193" s="189">
        <v>3</v>
      </c>
      <c r="E193" s="188">
        <v>9474039781</v>
      </c>
      <c r="F193" s="198">
        <v>1300</v>
      </c>
      <c r="G193" s="253">
        <v>45915</v>
      </c>
    </row>
    <row r="194" spans="1:7" ht="23.25">
      <c r="A194" s="192">
        <v>21</v>
      </c>
      <c r="B194" s="191" t="s">
        <v>59</v>
      </c>
      <c r="C194" s="190" t="s">
        <v>60</v>
      </c>
      <c r="D194" s="189">
        <v>2</v>
      </c>
      <c r="E194" s="188">
        <v>8789747535</v>
      </c>
      <c r="F194" s="198">
        <v>1000</v>
      </c>
      <c r="G194" s="253">
        <v>45915</v>
      </c>
    </row>
    <row r="195" spans="1:7" ht="23.25">
      <c r="A195" s="192">
        <v>22</v>
      </c>
      <c r="B195" s="191" t="s">
        <v>61</v>
      </c>
      <c r="C195" s="190" t="s">
        <v>62</v>
      </c>
      <c r="D195" s="189">
        <v>2</v>
      </c>
      <c r="E195" s="188">
        <v>9732006006</v>
      </c>
      <c r="F195" s="198">
        <v>1000</v>
      </c>
      <c r="G195" s="253">
        <v>45915</v>
      </c>
    </row>
    <row r="196" spans="1:7" ht="23.25">
      <c r="A196" s="192">
        <v>23</v>
      </c>
      <c r="B196" s="191" t="s">
        <v>63</v>
      </c>
      <c r="C196" s="190" t="s">
        <v>64</v>
      </c>
      <c r="D196" s="189">
        <v>3</v>
      </c>
      <c r="E196" s="188">
        <v>8927777001</v>
      </c>
      <c r="F196" s="198">
        <v>1300</v>
      </c>
      <c r="G196" s="253">
        <v>45915</v>
      </c>
    </row>
    <row r="197" spans="1:7" ht="46.5">
      <c r="A197" s="192">
        <v>24</v>
      </c>
      <c r="B197" s="191" t="s">
        <v>65</v>
      </c>
      <c r="C197" s="190" t="s">
        <v>66</v>
      </c>
      <c r="D197" s="189">
        <v>3</v>
      </c>
      <c r="E197" s="207" t="s">
        <v>241</v>
      </c>
      <c r="F197" s="198">
        <v>1300</v>
      </c>
      <c r="G197" s="253">
        <v>45915</v>
      </c>
    </row>
    <row r="198" spans="1:7" ht="23.25">
      <c r="A198" s="188">
        <v>25</v>
      </c>
      <c r="B198" s="197" t="s">
        <v>67</v>
      </c>
      <c r="C198" s="196" t="s">
        <v>68</v>
      </c>
      <c r="D198" s="196">
        <v>2</v>
      </c>
      <c r="E198" s="195">
        <v>9775033283</v>
      </c>
      <c r="F198" s="221">
        <v>1000</v>
      </c>
      <c r="G198" s="270">
        <v>45915</v>
      </c>
    </row>
    <row r="199" spans="1:7" ht="23.25">
      <c r="A199" s="192">
        <v>27</v>
      </c>
      <c r="B199" s="191" t="s">
        <v>70</v>
      </c>
      <c r="C199" s="190" t="s">
        <v>71</v>
      </c>
      <c r="D199" s="189">
        <v>3</v>
      </c>
      <c r="E199" s="188">
        <v>9007993440</v>
      </c>
      <c r="F199" s="198">
        <v>1300</v>
      </c>
      <c r="G199" s="253">
        <v>45915</v>
      </c>
    </row>
    <row r="200" spans="1:7" ht="23.25">
      <c r="A200" s="192">
        <v>28</v>
      </c>
      <c r="B200" s="191" t="s">
        <v>72</v>
      </c>
      <c r="C200" s="190" t="s">
        <v>73</v>
      </c>
      <c r="D200" s="189">
        <v>3</v>
      </c>
      <c r="E200" s="188">
        <v>9851121248</v>
      </c>
      <c r="F200" s="198">
        <v>1300</v>
      </c>
      <c r="G200" s="253">
        <v>45915</v>
      </c>
    </row>
    <row r="201" spans="1:7" ht="23.25">
      <c r="A201" s="192">
        <v>29</v>
      </c>
      <c r="B201" s="191" t="s">
        <v>74</v>
      </c>
      <c r="C201" s="190" t="s">
        <v>75</v>
      </c>
      <c r="D201" s="189">
        <v>2</v>
      </c>
      <c r="E201" s="188">
        <v>7908578532</v>
      </c>
      <c r="F201" s="198">
        <v>1000</v>
      </c>
      <c r="G201" s="253">
        <v>45915</v>
      </c>
    </row>
    <row r="202" spans="1:7" ht="23.25">
      <c r="A202" s="192">
        <v>30</v>
      </c>
      <c r="B202" s="191" t="s">
        <v>76</v>
      </c>
      <c r="C202" s="190" t="s">
        <v>77</v>
      </c>
      <c r="D202" s="189">
        <v>2</v>
      </c>
      <c r="E202" s="188">
        <v>8637853169</v>
      </c>
      <c r="F202" s="198">
        <v>1000</v>
      </c>
      <c r="G202" s="253">
        <v>45915</v>
      </c>
    </row>
    <row r="203" spans="1:7" ht="23.25">
      <c r="A203" s="192">
        <v>31</v>
      </c>
      <c r="B203" s="191" t="s">
        <v>78</v>
      </c>
      <c r="C203" s="190" t="s">
        <v>79</v>
      </c>
      <c r="D203" s="189">
        <v>3</v>
      </c>
      <c r="E203" s="188">
        <v>9434101485</v>
      </c>
      <c r="F203" s="198">
        <v>1300</v>
      </c>
      <c r="G203" s="253">
        <v>45915</v>
      </c>
    </row>
    <row r="204" spans="1:7" ht="23.25">
      <c r="A204" s="203">
        <v>32</v>
      </c>
      <c r="B204" s="202" t="s">
        <v>137</v>
      </c>
      <c r="C204" s="201" t="s">
        <v>80</v>
      </c>
      <c r="D204" s="200">
        <v>3</v>
      </c>
      <c r="E204" s="199">
        <v>8820411025</v>
      </c>
      <c r="F204" s="252">
        <v>1300</v>
      </c>
      <c r="G204" s="275"/>
    </row>
    <row r="205" spans="1:7" ht="23.25">
      <c r="A205" s="192">
        <v>33</v>
      </c>
      <c r="B205" s="191" t="s">
        <v>81</v>
      </c>
      <c r="C205" s="190" t="s">
        <v>82</v>
      </c>
      <c r="D205" s="189">
        <v>2</v>
      </c>
      <c r="E205" s="188">
        <v>9749449845</v>
      </c>
      <c r="F205" s="252">
        <v>1000</v>
      </c>
      <c r="G205" s="273">
        <v>45915</v>
      </c>
    </row>
    <row r="206" spans="1:7" ht="23.25">
      <c r="A206" s="192">
        <v>34</v>
      </c>
      <c r="B206" s="191" t="s">
        <v>83</v>
      </c>
      <c r="C206" s="190" t="s">
        <v>84</v>
      </c>
      <c r="D206" s="189">
        <v>2</v>
      </c>
      <c r="E206" s="188">
        <v>9735135784</v>
      </c>
      <c r="F206" s="198">
        <v>1000</v>
      </c>
      <c r="G206" s="253">
        <v>45915</v>
      </c>
    </row>
    <row r="207" spans="1:7" ht="23.25">
      <c r="A207" s="188">
        <v>35</v>
      </c>
      <c r="B207" s="197" t="s">
        <v>85</v>
      </c>
      <c r="C207" s="190" t="s">
        <v>244</v>
      </c>
      <c r="D207" s="196" t="s">
        <v>25</v>
      </c>
      <c r="E207" s="195">
        <v>9474567580</v>
      </c>
      <c r="F207" s="274">
        <v>2300</v>
      </c>
      <c r="G207" s="270">
        <v>45915</v>
      </c>
    </row>
    <row r="208" spans="1:7" ht="23.25">
      <c r="A208" s="192">
        <v>36</v>
      </c>
      <c r="B208" s="191" t="s">
        <v>87</v>
      </c>
      <c r="C208" s="190" t="s">
        <v>88</v>
      </c>
      <c r="D208" s="189">
        <v>3</v>
      </c>
      <c r="E208" s="188">
        <v>9836087162</v>
      </c>
      <c r="F208" s="198">
        <v>1300</v>
      </c>
      <c r="G208" s="253">
        <v>45915</v>
      </c>
    </row>
    <row r="209" spans="1:7" ht="23.25">
      <c r="A209" s="192">
        <v>37</v>
      </c>
      <c r="B209" s="191" t="s">
        <v>89</v>
      </c>
      <c r="C209" s="190" t="s">
        <v>90</v>
      </c>
      <c r="D209" s="189">
        <v>2</v>
      </c>
      <c r="E209" s="188">
        <v>8101850717</v>
      </c>
      <c r="F209" s="198">
        <v>1000</v>
      </c>
      <c r="G209" s="253">
        <v>45915</v>
      </c>
    </row>
    <row r="210" spans="1:7" ht="23.25">
      <c r="A210" s="192">
        <v>38</v>
      </c>
      <c r="B210" s="191" t="s">
        <v>91</v>
      </c>
      <c r="C210" s="190" t="s">
        <v>92</v>
      </c>
      <c r="D210" s="189">
        <v>3</v>
      </c>
      <c r="E210" s="188">
        <v>8318151358</v>
      </c>
      <c r="F210" s="252">
        <v>1300</v>
      </c>
      <c r="G210" s="273">
        <v>45915</v>
      </c>
    </row>
    <row r="211" spans="1:7" ht="23.25">
      <c r="A211" s="192">
        <v>39</v>
      </c>
      <c r="B211" s="191" t="s">
        <v>93</v>
      </c>
      <c r="C211" s="190" t="s">
        <v>94</v>
      </c>
      <c r="D211" s="189">
        <v>3</v>
      </c>
      <c r="E211" s="188">
        <v>6296936814</v>
      </c>
      <c r="F211" s="198">
        <v>1300</v>
      </c>
      <c r="G211" s="253">
        <v>45915</v>
      </c>
    </row>
    <row r="212" spans="1:7" ht="23.25">
      <c r="A212" s="192">
        <v>40</v>
      </c>
      <c r="B212" s="191" t="s">
        <v>95</v>
      </c>
      <c r="C212" s="190" t="s">
        <v>96</v>
      </c>
      <c r="D212" s="189">
        <v>2</v>
      </c>
      <c r="E212" s="188">
        <v>9531571901</v>
      </c>
      <c r="F212" s="198">
        <v>1000</v>
      </c>
      <c r="G212" s="253">
        <v>45915</v>
      </c>
    </row>
    <row r="213" spans="1:7" ht="23.25">
      <c r="A213" s="192">
        <v>42</v>
      </c>
      <c r="B213" s="191" t="s">
        <v>98</v>
      </c>
      <c r="C213" s="190" t="s">
        <v>99</v>
      </c>
      <c r="D213" s="189">
        <v>3</v>
      </c>
      <c r="E213" s="188">
        <v>7680914260</v>
      </c>
      <c r="F213" s="198">
        <v>1300</v>
      </c>
      <c r="G213" s="253">
        <v>45915</v>
      </c>
    </row>
    <row r="214" spans="1:7" ht="23.25">
      <c r="A214" s="203">
        <v>43</v>
      </c>
      <c r="B214" s="202" t="s">
        <v>134</v>
      </c>
      <c r="C214" s="201" t="s">
        <v>100</v>
      </c>
      <c r="D214" s="200">
        <v>3</v>
      </c>
      <c r="E214" s="199">
        <v>7044376634</v>
      </c>
      <c r="F214" s="272">
        <v>1300</v>
      </c>
      <c r="G214" s="253">
        <v>45996</v>
      </c>
    </row>
    <row r="215" spans="1:7" ht="23.25">
      <c r="A215" s="203">
        <v>44</v>
      </c>
      <c r="B215" s="202" t="s">
        <v>135</v>
      </c>
      <c r="C215" s="201" t="s">
        <v>101</v>
      </c>
      <c r="D215" s="200">
        <v>2</v>
      </c>
      <c r="E215" s="199">
        <v>7908550094</v>
      </c>
      <c r="F215" s="198">
        <v>1000</v>
      </c>
      <c r="G215" s="253">
        <v>45996</v>
      </c>
    </row>
    <row r="216" spans="1:7" ht="23.25">
      <c r="A216" s="188">
        <v>46</v>
      </c>
      <c r="B216" s="197" t="s">
        <v>103</v>
      </c>
      <c r="C216" s="196" t="s">
        <v>104</v>
      </c>
      <c r="D216" s="196">
        <v>3</v>
      </c>
      <c r="E216" s="195">
        <v>7908182143</v>
      </c>
      <c r="F216" s="271">
        <v>1300</v>
      </c>
      <c r="G216" s="270">
        <v>45938</v>
      </c>
    </row>
    <row r="217" spans="1:7" ht="23.25">
      <c r="A217" s="192">
        <v>47</v>
      </c>
      <c r="B217" s="191" t="s">
        <v>105</v>
      </c>
      <c r="C217" s="190" t="s">
        <v>106</v>
      </c>
      <c r="D217" s="189">
        <v>3</v>
      </c>
      <c r="E217" s="188">
        <v>9933918646</v>
      </c>
      <c r="F217" s="198">
        <v>1300</v>
      </c>
      <c r="G217" s="253">
        <v>45915</v>
      </c>
    </row>
    <row r="218" spans="1:7" ht="23.25">
      <c r="A218" s="192">
        <v>50</v>
      </c>
      <c r="B218" s="191" t="s">
        <v>109</v>
      </c>
      <c r="C218" s="190" t="s">
        <v>110</v>
      </c>
      <c r="D218" s="189">
        <v>3</v>
      </c>
      <c r="E218" s="188">
        <v>9681710268</v>
      </c>
      <c r="F218" s="198">
        <v>1300</v>
      </c>
      <c r="G218" s="253">
        <v>45915</v>
      </c>
    </row>
    <row r="219" spans="1:7" ht="23.25">
      <c r="A219" s="192">
        <v>51</v>
      </c>
      <c r="B219" s="191" t="s">
        <v>111</v>
      </c>
      <c r="C219" s="190" t="s">
        <v>112</v>
      </c>
      <c r="D219" s="189">
        <v>3</v>
      </c>
      <c r="E219" s="188">
        <v>9434216284</v>
      </c>
      <c r="F219" s="198">
        <v>1300</v>
      </c>
      <c r="G219" s="253">
        <v>45915</v>
      </c>
    </row>
    <row r="220" spans="1:7" ht="23.25">
      <c r="A220" s="192">
        <v>52</v>
      </c>
      <c r="B220" s="191" t="s">
        <v>113</v>
      </c>
      <c r="C220" s="190" t="s">
        <v>114</v>
      </c>
      <c r="D220" s="189">
        <v>2</v>
      </c>
      <c r="E220" s="188">
        <v>9458208175</v>
      </c>
      <c r="F220" s="198">
        <v>1000</v>
      </c>
      <c r="G220" s="253">
        <v>45915</v>
      </c>
    </row>
    <row r="221" spans="1:7" ht="23.25">
      <c r="A221" s="192">
        <v>58</v>
      </c>
      <c r="B221" s="191" t="s">
        <v>120</v>
      </c>
      <c r="C221" s="190" t="s">
        <v>121</v>
      </c>
      <c r="D221" s="189">
        <v>3</v>
      </c>
      <c r="E221" s="188">
        <v>9681429435</v>
      </c>
      <c r="F221" s="198">
        <v>1300</v>
      </c>
      <c r="G221" s="253">
        <v>45915</v>
      </c>
    </row>
    <row r="222" spans="1:7" ht="23.25">
      <c r="A222" s="192">
        <v>59</v>
      </c>
      <c r="B222" s="191" t="s">
        <v>122</v>
      </c>
      <c r="C222" s="190" t="s">
        <v>123</v>
      </c>
      <c r="D222" s="189">
        <v>3</v>
      </c>
      <c r="E222" s="188">
        <v>7908970236</v>
      </c>
      <c r="F222" s="198">
        <v>1300</v>
      </c>
      <c r="G222" s="253">
        <v>45915</v>
      </c>
    </row>
    <row r="223" spans="1:7" ht="23.25">
      <c r="A223" s="192">
        <v>60</v>
      </c>
      <c r="B223" s="191" t="s">
        <v>124</v>
      </c>
      <c r="C223" s="190" t="s">
        <v>125</v>
      </c>
      <c r="D223" s="189">
        <v>2</v>
      </c>
      <c r="E223" s="188">
        <v>9046420491</v>
      </c>
      <c r="F223" s="198">
        <v>1000</v>
      </c>
      <c r="G223" s="253">
        <v>45915</v>
      </c>
    </row>
    <row r="224" spans="1:7" ht="23.25">
      <c r="A224" s="192">
        <v>1</v>
      </c>
      <c r="B224" s="191" t="s">
        <v>26</v>
      </c>
      <c r="C224" s="190" t="s">
        <v>27</v>
      </c>
      <c r="D224" s="189">
        <v>3</v>
      </c>
      <c r="E224" s="188">
        <v>9609688683</v>
      </c>
      <c r="F224" s="198">
        <v>1300</v>
      </c>
      <c r="G224" s="253">
        <v>45945</v>
      </c>
    </row>
    <row r="225" spans="1:7" ht="23.25">
      <c r="A225" s="217">
        <v>2</v>
      </c>
      <c r="B225" s="216" t="s">
        <v>28</v>
      </c>
      <c r="C225" s="215" t="s">
        <v>29</v>
      </c>
      <c r="D225" s="214">
        <v>3</v>
      </c>
      <c r="E225" s="213">
        <v>7557076444</v>
      </c>
      <c r="F225" s="218">
        <v>1300</v>
      </c>
      <c r="G225" s="268">
        <v>45945</v>
      </c>
    </row>
    <row r="226" spans="1:7" ht="23.25">
      <c r="A226" s="192">
        <v>3</v>
      </c>
      <c r="B226" s="216" t="s">
        <v>30</v>
      </c>
      <c r="C226" s="215" t="s">
        <v>31</v>
      </c>
      <c r="D226" s="214">
        <v>2</v>
      </c>
      <c r="E226" s="213">
        <v>8001604274</v>
      </c>
      <c r="F226" s="218">
        <v>1000</v>
      </c>
      <c r="G226" s="268">
        <v>45945</v>
      </c>
    </row>
    <row r="227" spans="1:7" ht="23.25">
      <c r="A227" s="217">
        <v>4</v>
      </c>
      <c r="B227" s="269" t="s">
        <v>20</v>
      </c>
      <c r="C227" s="215" t="s">
        <v>32</v>
      </c>
      <c r="D227" s="214">
        <v>2</v>
      </c>
      <c r="E227" s="219"/>
      <c r="F227" s="218">
        <v>1000</v>
      </c>
      <c r="G227" s="268">
        <v>45945</v>
      </c>
    </row>
    <row r="228" spans="1:7" ht="23.25">
      <c r="A228" s="217">
        <v>5</v>
      </c>
      <c r="B228" s="216" t="s">
        <v>33</v>
      </c>
      <c r="C228" s="215" t="s">
        <v>34</v>
      </c>
      <c r="D228" s="214">
        <v>3</v>
      </c>
      <c r="E228" s="213">
        <v>9434115212</v>
      </c>
      <c r="F228" s="218">
        <v>1300</v>
      </c>
      <c r="G228" s="268">
        <v>45945</v>
      </c>
    </row>
    <row r="229" spans="1:7" ht="23.25">
      <c r="A229" s="208">
        <v>6</v>
      </c>
      <c r="B229" s="210" t="s">
        <v>35</v>
      </c>
      <c r="C229" s="190" t="s">
        <v>243</v>
      </c>
      <c r="D229" s="209" t="s">
        <v>24</v>
      </c>
      <c r="E229" s="208">
        <v>9474561244</v>
      </c>
      <c r="F229" s="198">
        <v>2300</v>
      </c>
      <c r="G229" s="253">
        <v>45945</v>
      </c>
    </row>
    <row r="230" spans="1:7" ht="23.25">
      <c r="A230" s="192">
        <v>7</v>
      </c>
      <c r="B230" s="228" t="s">
        <v>1</v>
      </c>
      <c r="C230" s="190" t="s">
        <v>37</v>
      </c>
      <c r="D230" s="189">
        <v>2</v>
      </c>
      <c r="E230" s="207">
        <v>9475044158</v>
      </c>
      <c r="F230" s="198">
        <v>1000</v>
      </c>
      <c r="G230" s="253">
        <v>45945</v>
      </c>
    </row>
    <row r="231" spans="1:7" ht="23.25">
      <c r="A231" s="192">
        <v>8</v>
      </c>
      <c r="B231" s="191" t="s">
        <v>0</v>
      </c>
      <c r="C231" s="196" t="s">
        <v>242</v>
      </c>
      <c r="D231" s="189" t="s">
        <v>24</v>
      </c>
      <c r="E231" s="188">
        <v>9933111420</v>
      </c>
      <c r="F231" s="198">
        <v>2300</v>
      </c>
      <c r="G231" s="244">
        <v>45945</v>
      </c>
    </row>
    <row r="232" spans="1:7" ht="23.25">
      <c r="A232" s="192">
        <v>9</v>
      </c>
      <c r="B232" s="191" t="s">
        <v>39</v>
      </c>
      <c r="C232" s="190" t="s">
        <v>40</v>
      </c>
      <c r="D232" s="189">
        <v>3</v>
      </c>
      <c r="E232" s="188">
        <v>9427221065</v>
      </c>
      <c r="F232" s="198">
        <v>1300</v>
      </c>
      <c r="G232" s="244">
        <v>45945</v>
      </c>
    </row>
    <row r="233" spans="1:7" ht="23.25">
      <c r="A233" s="192">
        <v>11</v>
      </c>
      <c r="B233" s="191" t="s">
        <v>42</v>
      </c>
      <c r="C233" s="190" t="s">
        <v>43</v>
      </c>
      <c r="D233" s="189">
        <v>3</v>
      </c>
      <c r="E233" s="188">
        <v>8962744280</v>
      </c>
      <c r="F233" s="198">
        <v>1300</v>
      </c>
      <c r="G233" s="244">
        <v>45945</v>
      </c>
    </row>
    <row r="234" spans="1:7" ht="23.25">
      <c r="A234" s="192">
        <v>12</v>
      </c>
      <c r="B234" s="191" t="s">
        <v>44</v>
      </c>
      <c r="C234" s="190" t="s">
        <v>45</v>
      </c>
      <c r="D234" s="189">
        <v>3</v>
      </c>
      <c r="E234" s="188">
        <v>9749543529</v>
      </c>
      <c r="F234" s="198">
        <v>1300</v>
      </c>
      <c r="G234" s="244">
        <v>45945</v>
      </c>
    </row>
    <row r="235" spans="1:7" ht="23.25">
      <c r="A235" s="192">
        <v>13</v>
      </c>
      <c r="B235" s="191" t="s">
        <v>46</v>
      </c>
      <c r="C235" s="190" t="s">
        <v>47</v>
      </c>
      <c r="D235" s="189">
        <v>2</v>
      </c>
      <c r="E235" s="188">
        <v>7001420328</v>
      </c>
      <c r="F235" s="198">
        <v>1000</v>
      </c>
      <c r="G235" s="244">
        <v>45945</v>
      </c>
    </row>
    <row r="236" spans="1:7" ht="23.25">
      <c r="A236" s="192">
        <v>15</v>
      </c>
      <c r="B236" s="191" t="s">
        <v>49</v>
      </c>
      <c r="C236" s="190" t="s">
        <v>50</v>
      </c>
      <c r="D236" s="189">
        <v>3</v>
      </c>
      <c r="E236" s="188">
        <v>8918008545</v>
      </c>
      <c r="F236" s="198">
        <v>1300</v>
      </c>
      <c r="G236" s="244">
        <v>45945</v>
      </c>
    </row>
    <row r="237" spans="1:7" ht="23.25">
      <c r="A237" s="192">
        <v>16</v>
      </c>
      <c r="B237" s="191" t="s">
        <v>51</v>
      </c>
      <c r="C237" s="190" t="s">
        <v>52</v>
      </c>
      <c r="D237" s="189">
        <v>3</v>
      </c>
      <c r="E237" s="188">
        <v>8967856644</v>
      </c>
      <c r="F237" s="198">
        <v>1300</v>
      </c>
      <c r="G237" s="244">
        <v>45945</v>
      </c>
    </row>
    <row r="238" spans="1:7" ht="23.25">
      <c r="A238" s="188">
        <v>17</v>
      </c>
      <c r="B238" s="197" t="s">
        <v>53</v>
      </c>
      <c r="C238" s="196" t="s">
        <v>54</v>
      </c>
      <c r="D238" s="196">
        <v>2</v>
      </c>
      <c r="E238" s="195">
        <v>8436193278</v>
      </c>
      <c r="F238" s="258">
        <v>1000</v>
      </c>
      <c r="G238" s="267">
        <v>45945</v>
      </c>
    </row>
    <row r="239" spans="1:7" ht="23.25">
      <c r="A239" s="192">
        <v>20</v>
      </c>
      <c r="B239" s="191" t="s">
        <v>57</v>
      </c>
      <c r="C239" s="190" t="s">
        <v>58</v>
      </c>
      <c r="D239" s="189">
        <v>3</v>
      </c>
      <c r="E239" s="188">
        <v>9474039781</v>
      </c>
      <c r="F239" s="198">
        <v>1300</v>
      </c>
      <c r="G239" s="244">
        <v>45945</v>
      </c>
    </row>
    <row r="240" spans="1:7" ht="23.25">
      <c r="A240" s="192">
        <v>21</v>
      </c>
      <c r="B240" s="191" t="s">
        <v>59</v>
      </c>
      <c r="C240" s="190" t="s">
        <v>60</v>
      </c>
      <c r="D240" s="189">
        <v>2</v>
      </c>
      <c r="E240" s="188">
        <v>8789747535</v>
      </c>
      <c r="F240" s="198">
        <v>1000</v>
      </c>
      <c r="G240" s="244">
        <v>45945</v>
      </c>
    </row>
    <row r="241" spans="1:7" ht="23.25">
      <c r="A241" s="192">
        <v>22</v>
      </c>
      <c r="B241" s="191" t="s">
        <v>61</v>
      </c>
      <c r="C241" s="190" t="s">
        <v>62</v>
      </c>
      <c r="D241" s="189">
        <v>2</v>
      </c>
      <c r="E241" s="188">
        <v>9732006006</v>
      </c>
      <c r="F241" s="198">
        <v>1000</v>
      </c>
      <c r="G241" s="244">
        <v>45945</v>
      </c>
    </row>
    <row r="242" spans="1:7" ht="23.25">
      <c r="A242" s="192">
        <v>23</v>
      </c>
      <c r="B242" s="191" t="s">
        <v>63</v>
      </c>
      <c r="C242" s="190" t="s">
        <v>64</v>
      </c>
      <c r="D242" s="189">
        <v>3</v>
      </c>
      <c r="E242" s="188">
        <v>8927777001</v>
      </c>
      <c r="F242" s="198">
        <v>1300</v>
      </c>
      <c r="G242" s="244">
        <v>45945</v>
      </c>
    </row>
    <row r="243" spans="1:7" ht="46.5">
      <c r="A243" s="192">
        <v>24</v>
      </c>
      <c r="B243" s="191" t="s">
        <v>65</v>
      </c>
      <c r="C243" s="190" t="s">
        <v>66</v>
      </c>
      <c r="D243" s="189">
        <v>3</v>
      </c>
      <c r="E243" s="207" t="s">
        <v>241</v>
      </c>
      <c r="F243" s="198">
        <v>1300</v>
      </c>
      <c r="G243" s="244">
        <v>45945</v>
      </c>
    </row>
    <row r="244" spans="1:7" ht="23.25">
      <c r="A244" s="192">
        <v>25</v>
      </c>
      <c r="B244" s="191" t="s">
        <v>67</v>
      </c>
      <c r="C244" s="190" t="s">
        <v>68</v>
      </c>
      <c r="D244" s="189">
        <v>2</v>
      </c>
      <c r="E244" s="188">
        <v>9775033283</v>
      </c>
      <c r="F244" s="198">
        <v>1000</v>
      </c>
      <c r="G244" s="244">
        <v>45945</v>
      </c>
    </row>
    <row r="245" spans="1:7" ht="23.25">
      <c r="A245" s="192">
        <v>27</v>
      </c>
      <c r="B245" s="191" t="s">
        <v>70</v>
      </c>
      <c r="C245" s="190" t="s">
        <v>71</v>
      </c>
      <c r="D245" s="189">
        <v>3</v>
      </c>
      <c r="E245" s="188">
        <v>9007993440</v>
      </c>
      <c r="F245" s="198">
        <v>1300</v>
      </c>
      <c r="G245" s="244">
        <v>45945</v>
      </c>
    </row>
    <row r="246" spans="1:7" ht="23.25">
      <c r="A246" s="188">
        <v>28</v>
      </c>
      <c r="B246" s="197" t="s">
        <v>72</v>
      </c>
      <c r="C246" s="196" t="s">
        <v>73</v>
      </c>
      <c r="D246" s="196">
        <v>3</v>
      </c>
      <c r="E246" s="195">
        <v>9851121248</v>
      </c>
      <c r="F246" s="204">
        <v>1300</v>
      </c>
      <c r="G246" s="243">
        <v>45945</v>
      </c>
    </row>
    <row r="247" spans="1:7" ht="23.25">
      <c r="A247" s="192">
        <v>29</v>
      </c>
      <c r="B247" s="191" t="s">
        <v>74</v>
      </c>
      <c r="C247" s="190" t="s">
        <v>75</v>
      </c>
      <c r="D247" s="189">
        <v>2</v>
      </c>
      <c r="E247" s="188">
        <v>7908578532</v>
      </c>
      <c r="F247" s="198">
        <v>1000</v>
      </c>
      <c r="G247" s="244">
        <v>45945</v>
      </c>
    </row>
    <row r="248" spans="1:7" ht="23.25">
      <c r="A248" s="192">
        <v>30</v>
      </c>
      <c r="B248" s="191" t="s">
        <v>76</v>
      </c>
      <c r="C248" s="190" t="s">
        <v>77</v>
      </c>
      <c r="D248" s="189">
        <v>2</v>
      </c>
      <c r="E248" s="188">
        <v>8637853169</v>
      </c>
      <c r="F248" s="198">
        <v>1000</v>
      </c>
      <c r="G248" s="244">
        <v>45945</v>
      </c>
    </row>
    <row r="249" spans="1:7" ht="23.25">
      <c r="A249" s="192">
        <v>31</v>
      </c>
      <c r="B249" s="191" t="s">
        <v>78</v>
      </c>
      <c r="C249" s="190" t="s">
        <v>79</v>
      </c>
      <c r="D249" s="189">
        <v>3</v>
      </c>
      <c r="E249" s="188">
        <v>9434101485</v>
      </c>
      <c r="F249" s="198">
        <v>1300</v>
      </c>
      <c r="G249" s="244">
        <v>45945</v>
      </c>
    </row>
    <row r="250" spans="1:7" ht="23.25">
      <c r="A250" s="203">
        <v>32</v>
      </c>
      <c r="B250" s="202" t="s">
        <v>137</v>
      </c>
      <c r="C250" s="201" t="s">
        <v>80</v>
      </c>
      <c r="D250" s="200">
        <v>3</v>
      </c>
      <c r="E250" s="199">
        <v>8820411025</v>
      </c>
      <c r="F250" s="198">
        <v>1300</v>
      </c>
      <c r="G250" s="244">
        <v>45945</v>
      </c>
    </row>
    <row r="251" spans="1:7" ht="23.25">
      <c r="A251" s="192">
        <v>33</v>
      </c>
      <c r="B251" s="191" t="s">
        <v>81</v>
      </c>
      <c r="C251" s="190" t="s">
        <v>82</v>
      </c>
      <c r="D251" s="189">
        <v>2</v>
      </c>
      <c r="E251" s="188">
        <v>9749449845</v>
      </c>
      <c r="F251" s="198">
        <v>1000</v>
      </c>
      <c r="G251" s="244">
        <v>45945</v>
      </c>
    </row>
    <row r="252" spans="1:7" ht="23.25">
      <c r="A252" s="192">
        <v>34</v>
      </c>
      <c r="B252" s="191" t="s">
        <v>83</v>
      </c>
      <c r="C252" s="190" t="s">
        <v>84</v>
      </c>
      <c r="D252" s="189">
        <v>2</v>
      </c>
      <c r="E252" s="188">
        <v>9735135784</v>
      </c>
      <c r="F252" s="198">
        <v>1000</v>
      </c>
      <c r="G252" s="244">
        <v>45945</v>
      </c>
    </row>
    <row r="253" spans="1:7" ht="23.25">
      <c r="A253" s="192">
        <v>35</v>
      </c>
      <c r="B253" s="191" t="s">
        <v>85</v>
      </c>
      <c r="C253" s="190" t="s">
        <v>244</v>
      </c>
      <c r="D253" s="189" t="s">
        <v>25</v>
      </c>
      <c r="E253" s="188">
        <v>9474567580</v>
      </c>
      <c r="F253" s="266">
        <v>2300</v>
      </c>
      <c r="G253" s="244">
        <v>45945</v>
      </c>
    </row>
    <row r="254" spans="1:7" ht="23.25">
      <c r="A254" s="192">
        <v>36</v>
      </c>
      <c r="B254" s="191" t="s">
        <v>87</v>
      </c>
      <c r="C254" s="190" t="s">
        <v>88</v>
      </c>
      <c r="D254" s="189">
        <v>3</v>
      </c>
      <c r="E254" s="188">
        <v>9836087162</v>
      </c>
      <c r="F254" s="198">
        <v>1300</v>
      </c>
      <c r="G254" s="244">
        <v>45945</v>
      </c>
    </row>
    <row r="255" spans="1:7" ht="23.25">
      <c r="A255" s="188">
        <v>37</v>
      </c>
      <c r="B255" s="197" t="s">
        <v>89</v>
      </c>
      <c r="C255" s="196" t="s">
        <v>90</v>
      </c>
      <c r="D255" s="196">
        <v>2</v>
      </c>
      <c r="E255" s="195">
        <v>8101850717</v>
      </c>
      <c r="F255" s="204">
        <v>1000</v>
      </c>
      <c r="G255" s="243">
        <v>45945</v>
      </c>
    </row>
    <row r="256" spans="1:7" ht="23.25">
      <c r="A256" s="192">
        <v>38</v>
      </c>
      <c r="B256" s="191" t="s">
        <v>91</v>
      </c>
      <c r="C256" s="190" t="s">
        <v>92</v>
      </c>
      <c r="D256" s="189">
        <v>3</v>
      </c>
      <c r="E256" s="188">
        <v>8318151358</v>
      </c>
      <c r="F256" s="198">
        <v>1300</v>
      </c>
      <c r="G256" s="244">
        <v>45945</v>
      </c>
    </row>
    <row r="257" spans="1:7" ht="23.25">
      <c r="A257" s="192">
        <v>39</v>
      </c>
      <c r="B257" s="191" t="s">
        <v>93</v>
      </c>
      <c r="C257" s="190" t="s">
        <v>94</v>
      </c>
      <c r="D257" s="189">
        <v>3</v>
      </c>
      <c r="E257" s="188">
        <v>6296936814</v>
      </c>
      <c r="F257" s="198">
        <v>1300</v>
      </c>
      <c r="G257" s="244">
        <v>45945</v>
      </c>
    </row>
    <row r="258" spans="1:7" ht="23.25">
      <c r="A258" s="192">
        <v>40</v>
      </c>
      <c r="B258" s="191" t="s">
        <v>95</v>
      </c>
      <c r="C258" s="190" t="s">
        <v>96</v>
      </c>
      <c r="D258" s="189">
        <v>2</v>
      </c>
      <c r="E258" s="188">
        <v>9531571901</v>
      </c>
      <c r="F258" s="198">
        <v>1000</v>
      </c>
      <c r="G258" s="244">
        <v>45945</v>
      </c>
    </row>
    <row r="259" spans="1:7" ht="23.25">
      <c r="A259" s="192">
        <v>42</v>
      </c>
      <c r="B259" s="191" t="s">
        <v>98</v>
      </c>
      <c r="C259" s="190" t="s">
        <v>99</v>
      </c>
      <c r="D259" s="189">
        <v>3</v>
      </c>
      <c r="E259" s="188">
        <v>7680914260</v>
      </c>
      <c r="F259" s="198">
        <v>1300</v>
      </c>
      <c r="G259" s="244">
        <v>45945</v>
      </c>
    </row>
    <row r="260" spans="1:7" ht="23.25">
      <c r="A260" s="203">
        <v>43</v>
      </c>
      <c r="B260" s="202" t="s">
        <v>134</v>
      </c>
      <c r="C260" s="201" t="s">
        <v>100</v>
      </c>
      <c r="D260" s="200">
        <v>3</v>
      </c>
      <c r="E260" s="199">
        <v>7044376634</v>
      </c>
      <c r="F260" s="198">
        <v>1300</v>
      </c>
      <c r="G260" s="244">
        <v>45996</v>
      </c>
    </row>
    <row r="261" spans="1:7" ht="23.25">
      <c r="A261" s="203">
        <v>44</v>
      </c>
      <c r="B261" s="202" t="s">
        <v>135</v>
      </c>
      <c r="C261" s="201" t="s">
        <v>101</v>
      </c>
      <c r="D261" s="200">
        <v>2</v>
      </c>
      <c r="E261" s="199">
        <v>7908550094</v>
      </c>
      <c r="F261" s="198">
        <v>1000</v>
      </c>
      <c r="G261" s="244">
        <v>45996</v>
      </c>
    </row>
    <row r="262" spans="1:7" ht="23.25">
      <c r="A262" s="192">
        <v>46</v>
      </c>
      <c r="B262" s="191" t="s">
        <v>103</v>
      </c>
      <c r="C262" s="190" t="s">
        <v>104</v>
      </c>
      <c r="D262" s="189">
        <v>3</v>
      </c>
      <c r="E262" s="188">
        <v>7908182143</v>
      </c>
      <c r="F262" s="187">
        <v>1300</v>
      </c>
      <c r="G262" s="244">
        <v>45938</v>
      </c>
    </row>
    <row r="263" spans="1:7" ht="23.25">
      <c r="A263" s="192">
        <v>47</v>
      </c>
      <c r="B263" s="191" t="s">
        <v>105</v>
      </c>
      <c r="C263" s="190" t="s">
        <v>106</v>
      </c>
      <c r="D263" s="189">
        <v>3</v>
      </c>
      <c r="E263" s="188">
        <v>9933918646</v>
      </c>
      <c r="F263" s="198">
        <v>1300</v>
      </c>
      <c r="G263" s="244">
        <v>45945</v>
      </c>
    </row>
    <row r="264" spans="1:7" ht="23.25">
      <c r="A264" s="188">
        <v>50</v>
      </c>
      <c r="B264" s="197" t="s">
        <v>109</v>
      </c>
      <c r="C264" s="196" t="s">
        <v>110</v>
      </c>
      <c r="D264" s="196">
        <v>3</v>
      </c>
      <c r="E264" s="195">
        <v>9681710268</v>
      </c>
      <c r="F264" s="204">
        <v>1300</v>
      </c>
      <c r="G264" s="243">
        <v>45945</v>
      </c>
    </row>
    <row r="265" spans="1:7" ht="23.25">
      <c r="A265" s="192">
        <v>51</v>
      </c>
      <c r="B265" s="191" t="s">
        <v>111</v>
      </c>
      <c r="C265" s="190" t="s">
        <v>112</v>
      </c>
      <c r="D265" s="189">
        <v>3</v>
      </c>
      <c r="E265" s="188">
        <v>9434216284</v>
      </c>
      <c r="F265" s="198">
        <v>1300</v>
      </c>
      <c r="G265" s="244">
        <v>45945</v>
      </c>
    </row>
    <row r="266" spans="1:7" ht="23.25">
      <c r="A266" s="192">
        <v>52</v>
      </c>
      <c r="B266" s="191" t="s">
        <v>113</v>
      </c>
      <c r="C266" s="190" t="s">
        <v>114</v>
      </c>
      <c r="D266" s="189">
        <v>2</v>
      </c>
      <c r="E266" s="188">
        <v>9458208175</v>
      </c>
      <c r="F266" s="252">
        <v>1000</v>
      </c>
      <c r="G266" s="265">
        <v>45945</v>
      </c>
    </row>
    <row r="267" spans="1:7" ht="23.25">
      <c r="A267" s="192">
        <v>58</v>
      </c>
      <c r="B267" s="191" t="s">
        <v>120</v>
      </c>
      <c r="C267" s="190" t="s">
        <v>121</v>
      </c>
      <c r="D267" s="189">
        <v>3</v>
      </c>
      <c r="E267" s="188">
        <v>9681429435</v>
      </c>
      <c r="F267" s="198">
        <v>1300</v>
      </c>
      <c r="G267" s="244">
        <v>45945</v>
      </c>
    </row>
    <row r="268" spans="1:7" ht="23.25">
      <c r="A268" s="192">
        <v>59</v>
      </c>
      <c r="B268" s="191" t="s">
        <v>122</v>
      </c>
      <c r="C268" s="190" t="s">
        <v>123</v>
      </c>
      <c r="D268" s="189">
        <v>3</v>
      </c>
      <c r="E268" s="188">
        <v>7908970236</v>
      </c>
      <c r="F268" s="198">
        <v>1300</v>
      </c>
      <c r="G268" s="244">
        <v>45945</v>
      </c>
    </row>
    <row r="269" spans="1:7" ht="23.25">
      <c r="A269" s="192">
        <v>60</v>
      </c>
      <c r="B269" s="191" t="s">
        <v>124</v>
      </c>
      <c r="C269" s="190" t="s">
        <v>125</v>
      </c>
      <c r="D269" s="189">
        <v>2</v>
      </c>
      <c r="E269" s="188">
        <v>9046420491</v>
      </c>
      <c r="F269" s="198">
        <v>1000</v>
      </c>
      <c r="G269" s="244">
        <v>45945</v>
      </c>
    </row>
    <row r="270" spans="1:7" ht="23.25">
      <c r="A270" s="192">
        <v>1</v>
      </c>
      <c r="B270" s="191" t="s">
        <v>26</v>
      </c>
      <c r="C270" s="190" t="s">
        <v>27</v>
      </c>
      <c r="D270" s="189">
        <v>3</v>
      </c>
      <c r="E270" s="188">
        <v>9609688683</v>
      </c>
      <c r="F270" s="198">
        <v>1500</v>
      </c>
      <c r="G270" s="249">
        <v>45962</v>
      </c>
    </row>
    <row r="271" spans="1:7" ht="23.25">
      <c r="A271" s="192">
        <v>2</v>
      </c>
      <c r="B271" s="191" t="s">
        <v>28</v>
      </c>
      <c r="C271" s="190" t="s">
        <v>29</v>
      </c>
      <c r="D271" s="189">
        <v>3</v>
      </c>
      <c r="E271" s="188">
        <v>7557076444</v>
      </c>
      <c r="F271" s="198">
        <v>1300</v>
      </c>
      <c r="G271" s="249">
        <v>45962</v>
      </c>
    </row>
    <row r="272" spans="1:7" ht="23.25">
      <c r="A272" s="188">
        <v>3</v>
      </c>
      <c r="B272" s="197" t="s">
        <v>30</v>
      </c>
      <c r="C272" s="196" t="s">
        <v>31</v>
      </c>
      <c r="D272" s="196">
        <v>2</v>
      </c>
      <c r="E272" s="195">
        <v>8001604274</v>
      </c>
      <c r="F272" s="194">
        <v>1200</v>
      </c>
      <c r="G272" s="262">
        <v>45962</v>
      </c>
    </row>
    <row r="273" spans="1:7" ht="23.25">
      <c r="A273" s="192">
        <v>4</v>
      </c>
      <c r="B273" s="248" t="s">
        <v>20</v>
      </c>
      <c r="C273" s="190" t="s">
        <v>32</v>
      </c>
      <c r="D273" s="189">
        <v>2</v>
      </c>
      <c r="E273" s="207"/>
      <c r="F273" s="198">
        <v>1200</v>
      </c>
      <c r="G273" s="249">
        <v>45962</v>
      </c>
    </row>
    <row r="274" spans="1:7" ht="23.25">
      <c r="A274" s="192">
        <v>5</v>
      </c>
      <c r="B274" s="191" t="s">
        <v>33</v>
      </c>
      <c r="C274" s="190" t="s">
        <v>34</v>
      </c>
      <c r="D274" s="189">
        <v>3</v>
      </c>
      <c r="E274" s="188">
        <v>9434115212</v>
      </c>
      <c r="F274" s="198">
        <v>1500</v>
      </c>
      <c r="G274" s="249">
        <v>45962</v>
      </c>
    </row>
    <row r="275" spans="1:7" ht="23.25">
      <c r="A275" s="192">
        <v>6</v>
      </c>
      <c r="B275" s="191" t="s">
        <v>35</v>
      </c>
      <c r="C275" s="190" t="s">
        <v>243</v>
      </c>
      <c r="D275" s="189" t="s">
        <v>24</v>
      </c>
      <c r="E275" s="188">
        <v>9474561244</v>
      </c>
      <c r="F275" s="198">
        <f>1500+1200</f>
        <v>2700</v>
      </c>
      <c r="G275" s="249">
        <v>45962</v>
      </c>
    </row>
    <row r="276" spans="1:7" ht="23.25">
      <c r="A276" s="192">
        <v>7</v>
      </c>
      <c r="B276" s="228" t="s">
        <v>1</v>
      </c>
      <c r="C276" s="190" t="s">
        <v>37</v>
      </c>
      <c r="D276" s="189">
        <v>2</v>
      </c>
      <c r="E276" s="207">
        <v>9475044158</v>
      </c>
      <c r="F276" s="198">
        <v>1200</v>
      </c>
      <c r="G276" s="249">
        <v>45962</v>
      </c>
    </row>
    <row r="277" spans="1:7" ht="23.25">
      <c r="A277" s="192">
        <v>8</v>
      </c>
      <c r="B277" s="191" t="s">
        <v>0</v>
      </c>
      <c r="C277" s="196" t="s">
        <v>242</v>
      </c>
      <c r="D277" s="189" t="s">
        <v>24</v>
      </c>
      <c r="E277" s="188">
        <v>9933111420</v>
      </c>
      <c r="F277" s="198">
        <f>1500+1200</f>
        <v>2700</v>
      </c>
      <c r="G277" s="249">
        <v>45962</v>
      </c>
    </row>
    <row r="278" spans="1:7" ht="23.25">
      <c r="A278" s="192">
        <v>9</v>
      </c>
      <c r="B278" s="191" t="s">
        <v>39</v>
      </c>
      <c r="C278" s="190" t="s">
        <v>40</v>
      </c>
      <c r="D278" s="189">
        <v>3</v>
      </c>
      <c r="E278" s="188">
        <v>9427221065</v>
      </c>
      <c r="F278" s="252">
        <v>1500</v>
      </c>
      <c r="G278" s="265">
        <v>45915</v>
      </c>
    </row>
    <row r="279" spans="1:7" ht="23.25">
      <c r="A279" s="192">
        <v>11</v>
      </c>
      <c r="B279" s="191" t="s">
        <v>42</v>
      </c>
      <c r="C279" s="190" t="s">
        <v>43</v>
      </c>
      <c r="D279" s="189">
        <v>3</v>
      </c>
      <c r="E279" s="188">
        <v>8962744280</v>
      </c>
      <c r="F279" s="252">
        <v>1500</v>
      </c>
      <c r="G279" s="251">
        <v>45962</v>
      </c>
    </row>
    <row r="280" spans="1:7" ht="23.25">
      <c r="A280" s="192">
        <v>12</v>
      </c>
      <c r="B280" s="191" t="s">
        <v>44</v>
      </c>
      <c r="C280" s="190" t="s">
        <v>45</v>
      </c>
      <c r="D280" s="189">
        <v>3</v>
      </c>
      <c r="E280" s="188">
        <v>9749543529</v>
      </c>
      <c r="F280" s="198">
        <v>1500</v>
      </c>
      <c r="G280" s="249">
        <v>45962</v>
      </c>
    </row>
    <row r="281" spans="1:7" ht="23.25">
      <c r="A281" s="188">
        <v>13</v>
      </c>
      <c r="B281" s="197" t="s">
        <v>46</v>
      </c>
      <c r="C281" s="196" t="s">
        <v>47</v>
      </c>
      <c r="D281" s="196">
        <v>2</v>
      </c>
      <c r="E281" s="195">
        <v>7001420328</v>
      </c>
      <c r="F281" s="204">
        <v>1200</v>
      </c>
      <c r="G281" s="264">
        <v>45938</v>
      </c>
    </row>
    <row r="282" spans="1:7" ht="23.25">
      <c r="A282" s="192">
        <v>15</v>
      </c>
      <c r="B282" s="191" t="s">
        <v>49</v>
      </c>
      <c r="C282" s="190" t="s">
        <v>50</v>
      </c>
      <c r="D282" s="189">
        <v>3</v>
      </c>
      <c r="E282" s="188">
        <v>8918008545</v>
      </c>
      <c r="F282" s="198">
        <v>1500</v>
      </c>
      <c r="G282" s="259">
        <v>45962</v>
      </c>
    </row>
    <row r="283" spans="1:7" ht="23.25">
      <c r="A283" s="192">
        <v>16</v>
      </c>
      <c r="B283" s="191" t="s">
        <v>51</v>
      </c>
      <c r="C283" s="190" t="s">
        <v>52</v>
      </c>
      <c r="D283" s="189">
        <v>3</v>
      </c>
      <c r="E283" s="188">
        <v>8967856644</v>
      </c>
      <c r="F283" s="198">
        <v>1500</v>
      </c>
      <c r="G283" s="249">
        <v>45962</v>
      </c>
    </row>
    <row r="284" spans="1:7" ht="23.25">
      <c r="A284" s="192">
        <v>17</v>
      </c>
      <c r="B284" s="191" t="s">
        <v>53</v>
      </c>
      <c r="C284" s="190" t="s">
        <v>54</v>
      </c>
      <c r="D284" s="189">
        <v>2</v>
      </c>
      <c r="E284" s="188">
        <v>8436193278</v>
      </c>
      <c r="F284" s="252">
        <v>1200</v>
      </c>
      <c r="G284" s="263">
        <v>45962</v>
      </c>
    </row>
    <row r="285" spans="1:7" ht="23.25">
      <c r="A285" s="192">
        <v>20</v>
      </c>
      <c r="B285" s="191" t="s">
        <v>57</v>
      </c>
      <c r="C285" s="190" t="s">
        <v>58</v>
      </c>
      <c r="D285" s="189">
        <v>3</v>
      </c>
      <c r="E285" s="188">
        <v>9474039781</v>
      </c>
      <c r="F285" s="198">
        <v>1500</v>
      </c>
      <c r="G285" s="249">
        <v>45962</v>
      </c>
    </row>
    <row r="286" spans="1:7" ht="23.25">
      <c r="A286" s="192">
        <v>21</v>
      </c>
      <c r="B286" s="191" t="s">
        <v>59</v>
      </c>
      <c r="C286" s="190" t="s">
        <v>60</v>
      </c>
      <c r="D286" s="189">
        <v>2</v>
      </c>
      <c r="E286" s="188">
        <v>8789747535</v>
      </c>
      <c r="F286" s="198">
        <v>1200</v>
      </c>
      <c r="G286" s="249">
        <v>45962</v>
      </c>
    </row>
    <row r="287" spans="1:7" ht="23.25">
      <c r="A287" s="192">
        <v>22</v>
      </c>
      <c r="B287" s="191" t="s">
        <v>61</v>
      </c>
      <c r="C287" s="190" t="s">
        <v>62</v>
      </c>
      <c r="D287" s="189">
        <v>2</v>
      </c>
      <c r="E287" s="188">
        <v>9732006006</v>
      </c>
      <c r="F287" s="198">
        <v>1200</v>
      </c>
      <c r="G287" s="249">
        <v>45962</v>
      </c>
    </row>
    <row r="288" spans="1:7" ht="23.25">
      <c r="A288" s="192">
        <v>23</v>
      </c>
      <c r="B288" s="191" t="s">
        <v>63</v>
      </c>
      <c r="C288" s="190" t="s">
        <v>64</v>
      </c>
      <c r="D288" s="189">
        <v>3</v>
      </c>
      <c r="E288" s="188">
        <v>8927777001</v>
      </c>
      <c r="F288" s="198">
        <v>1500</v>
      </c>
      <c r="G288" s="249">
        <v>45962</v>
      </c>
    </row>
    <row r="289" spans="1:7" ht="46.5">
      <c r="A289" s="192">
        <v>24</v>
      </c>
      <c r="B289" s="191" t="s">
        <v>65</v>
      </c>
      <c r="C289" s="190" t="s">
        <v>66</v>
      </c>
      <c r="D289" s="189">
        <v>3</v>
      </c>
      <c r="E289" s="207" t="s">
        <v>241</v>
      </c>
      <c r="F289" s="198">
        <v>1500</v>
      </c>
      <c r="G289" s="249">
        <v>45962</v>
      </c>
    </row>
    <row r="290" spans="1:7" ht="23.25">
      <c r="A290" s="188">
        <v>25</v>
      </c>
      <c r="B290" s="197" t="s">
        <v>67</v>
      </c>
      <c r="C290" s="196" t="s">
        <v>68</v>
      </c>
      <c r="D290" s="196">
        <v>2</v>
      </c>
      <c r="E290" s="195">
        <v>9775033283</v>
      </c>
      <c r="F290" s="204">
        <v>1200</v>
      </c>
      <c r="G290" s="262">
        <v>45962</v>
      </c>
    </row>
    <row r="291" spans="1:7" ht="23.25">
      <c r="A291" s="192">
        <v>27</v>
      </c>
      <c r="B291" s="191" t="s">
        <v>70</v>
      </c>
      <c r="C291" s="190" t="s">
        <v>71</v>
      </c>
      <c r="D291" s="189">
        <v>3</v>
      </c>
      <c r="E291" s="188">
        <v>9007993440</v>
      </c>
      <c r="F291" s="198">
        <v>1500</v>
      </c>
      <c r="G291" s="249">
        <v>45962</v>
      </c>
    </row>
    <row r="292" spans="1:7" ht="23.25">
      <c r="A292" s="192">
        <v>28</v>
      </c>
      <c r="B292" s="191" t="s">
        <v>72</v>
      </c>
      <c r="C292" s="190" t="s">
        <v>73</v>
      </c>
      <c r="D292" s="189">
        <v>3</v>
      </c>
      <c r="E292" s="188">
        <v>9851121248</v>
      </c>
      <c r="F292" s="198">
        <v>1500</v>
      </c>
      <c r="G292" s="249">
        <v>45962</v>
      </c>
    </row>
    <row r="293" spans="1:7" ht="23.25">
      <c r="A293" s="192">
        <v>29</v>
      </c>
      <c r="B293" s="191" t="s">
        <v>74</v>
      </c>
      <c r="C293" s="190" t="s">
        <v>75</v>
      </c>
      <c r="D293" s="189">
        <v>2</v>
      </c>
      <c r="E293" s="188">
        <v>7908578532</v>
      </c>
      <c r="F293" s="198">
        <v>1200</v>
      </c>
      <c r="G293" s="249">
        <v>45962</v>
      </c>
    </row>
    <row r="294" spans="1:7" ht="23.25">
      <c r="A294" s="192">
        <v>30</v>
      </c>
      <c r="B294" s="191" t="s">
        <v>76</v>
      </c>
      <c r="C294" s="190" t="s">
        <v>77</v>
      </c>
      <c r="D294" s="189">
        <v>2</v>
      </c>
      <c r="E294" s="188">
        <v>8637853169</v>
      </c>
      <c r="F294" s="198">
        <v>1200</v>
      </c>
      <c r="G294" s="249">
        <v>45962</v>
      </c>
    </row>
    <row r="295" spans="1:7" ht="23.25">
      <c r="A295" s="192">
        <v>31</v>
      </c>
      <c r="B295" s="191" t="s">
        <v>78</v>
      </c>
      <c r="C295" s="190" t="s">
        <v>79</v>
      </c>
      <c r="D295" s="189">
        <v>3</v>
      </c>
      <c r="E295" s="188">
        <v>9434101485</v>
      </c>
      <c r="F295" s="198">
        <v>1500</v>
      </c>
      <c r="G295" s="249">
        <v>45962</v>
      </c>
    </row>
    <row r="296" spans="1:7" ht="23.25">
      <c r="A296" s="203">
        <v>32</v>
      </c>
      <c r="B296" s="202" t="s">
        <v>137</v>
      </c>
      <c r="C296" s="201" t="s">
        <v>80</v>
      </c>
      <c r="D296" s="200">
        <v>3</v>
      </c>
      <c r="E296" s="199">
        <v>8820411025</v>
      </c>
      <c r="F296" s="198">
        <v>1500</v>
      </c>
      <c r="G296" s="249">
        <v>45962</v>
      </c>
    </row>
    <row r="297" spans="1:7" ht="23.25">
      <c r="A297" s="192">
        <v>33</v>
      </c>
      <c r="B297" s="191" t="s">
        <v>81</v>
      </c>
      <c r="C297" s="190" t="s">
        <v>82</v>
      </c>
      <c r="D297" s="189">
        <v>2</v>
      </c>
      <c r="E297" s="188">
        <v>9749449845</v>
      </c>
      <c r="F297" s="198">
        <v>1200</v>
      </c>
      <c r="G297" s="249">
        <v>45962</v>
      </c>
    </row>
    <row r="298" spans="1:7" ht="23.25">
      <c r="A298" s="192">
        <v>34</v>
      </c>
      <c r="B298" s="191" t="s">
        <v>83</v>
      </c>
      <c r="C298" s="190" t="s">
        <v>84</v>
      </c>
      <c r="D298" s="189">
        <v>2</v>
      </c>
      <c r="E298" s="188">
        <v>9735135784</v>
      </c>
      <c r="F298" s="198">
        <v>1200</v>
      </c>
      <c r="G298" s="249">
        <v>45962</v>
      </c>
    </row>
    <row r="299" spans="1:7" ht="23.25">
      <c r="A299" s="217">
        <v>35</v>
      </c>
      <c r="B299" s="216" t="s">
        <v>85</v>
      </c>
      <c r="C299" s="190" t="s">
        <v>244</v>
      </c>
      <c r="D299" s="214" t="s">
        <v>25</v>
      </c>
      <c r="E299" s="213">
        <v>9474567580</v>
      </c>
      <c r="F299" s="261">
        <v>2700</v>
      </c>
      <c r="G299" s="260">
        <v>45962</v>
      </c>
    </row>
    <row r="300" spans="1:7" ht="23.25">
      <c r="A300" s="192">
        <v>36</v>
      </c>
      <c r="B300" s="216" t="s">
        <v>87</v>
      </c>
      <c r="C300" s="215" t="s">
        <v>88</v>
      </c>
      <c r="D300" s="214">
        <v>3</v>
      </c>
      <c r="E300" s="213">
        <v>9836087162</v>
      </c>
      <c r="F300" s="218">
        <v>1500</v>
      </c>
      <c r="G300" s="260">
        <v>45962</v>
      </c>
    </row>
    <row r="301" spans="1:7" ht="23.25">
      <c r="A301" s="217">
        <v>37</v>
      </c>
      <c r="B301" s="216" t="s">
        <v>89</v>
      </c>
      <c r="C301" s="215" t="s">
        <v>90</v>
      </c>
      <c r="D301" s="214">
        <v>2</v>
      </c>
      <c r="E301" s="213">
        <v>8101850717</v>
      </c>
      <c r="F301" s="218">
        <v>1200</v>
      </c>
      <c r="G301" s="260">
        <v>45962</v>
      </c>
    </row>
    <row r="302" spans="1:7" ht="23.25">
      <c r="A302" s="217">
        <v>38</v>
      </c>
      <c r="B302" s="216" t="s">
        <v>91</v>
      </c>
      <c r="C302" s="215" t="s">
        <v>92</v>
      </c>
      <c r="D302" s="214">
        <v>3</v>
      </c>
      <c r="E302" s="213">
        <v>8318151358</v>
      </c>
      <c r="F302" s="218">
        <v>1500</v>
      </c>
      <c r="G302" s="260">
        <v>45962</v>
      </c>
    </row>
    <row r="303" spans="1:7" ht="23.25">
      <c r="A303" s="208">
        <v>39</v>
      </c>
      <c r="B303" s="210" t="s">
        <v>93</v>
      </c>
      <c r="C303" s="209" t="s">
        <v>94</v>
      </c>
      <c r="D303" s="209">
        <v>3</v>
      </c>
      <c r="E303" s="208">
        <v>6296936814</v>
      </c>
      <c r="F303" s="198">
        <v>1500</v>
      </c>
      <c r="G303" s="259">
        <v>45962</v>
      </c>
    </row>
    <row r="304" spans="1:7" ht="23.25">
      <c r="A304" s="192">
        <v>40</v>
      </c>
      <c r="B304" s="191" t="s">
        <v>95</v>
      </c>
      <c r="C304" s="190" t="s">
        <v>96</v>
      </c>
      <c r="D304" s="189">
        <v>2</v>
      </c>
      <c r="E304" s="188">
        <v>9531571901</v>
      </c>
      <c r="F304" s="198">
        <v>1200</v>
      </c>
      <c r="G304" s="259">
        <v>45962</v>
      </c>
    </row>
    <row r="305" spans="1:7" ht="23.25">
      <c r="A305" s="192">
        <v>42</v>
      </c>
      <c r="B305" s="191" t="s">
        <v>98</v>
      </c>
      <c r="C305" s="190" t="s">
        <v>99</v>
      </c>
      <c r="D305" s="189">
        <v>3</v>
      </c>
      <c r="E305" s="188">
        <v>7680914260</v>
      </c>
      <c r="F305" s="227">
        <v>1500</v>
      </c>
      <c r="G305" s="249">
        <v>45962</v>
      </c>
    </row>
    <row r="306" spans="1:7" ht="23.25">
      <c r="A306" s="203">
        <v>43</v>
      </c>
      <c r="B306" s="202" t="s">
        <v>134</v>
      </c>
      <c r="C306" s="201" t="s">
        <v>100</v>
      </c>
      <c r="D306" s="200">
        <v>3</v>
      </c>
      <c r="E306" s="199">
        <v>7044376634</v>
      </c>
      <c r="F306" s="227">
        <v>1500</v>
      </c>
      <c r="G306" s="244">
        <v>45996</v>
      </c>
    </row>
    <row r="307" spans="1:7" ht="23.25">
      <c r="A307" s="203">
        <v>44</v>
      </c>
      <c r="B307" s="202" t="s">
        <v>135</v>
      </c>
      <c r="C307" s="201" t="s">
        <v>101</v>
      </c>
      <c r="D307" s="200">
        <v>2</v>
      </c>
      <c r="E307" s="199">
        <v>7908550094</v>
      </c>
      <c r="F307" s="187">
        <v>1200</v>
      </c>
      <c r="G307" s="244">
        <v>45996</v>
      </c>
    </row>
    <row r="308" spans="1:7" ht="23.25">
      <c r="A308" s="192">
        <v>46</v>
      </c>
      <c r="B308" s="191" t="s">
        <v>103</v>
      </c>
      <c r="C308" s="190" t="s">
        <v>104</v>
      </c>
      <c r="D308" s="189">
        <v>3</v>
      </c>
      <c r="E308" s="188">
        <v>7908182143</v>
      </c>
      <c r="F308" s="240">
        <v>1500</v>
      </c>
      <c r="G308" s="244">
        <v>45938</v>
      </c>
    </row>
    <row r="309" spans="1:7" ht="23.25">
      <c r="A309" s="192">
        <v>47</v>
      </c>
      <c r="B309" s="191" t="s">
        <v>105</v>
      </c>
      <c r="C309" s="190" t="s">
        <v>106</v>
      </c>
      <c r="D309" s="189">
        <v>3</v>
      </c>
      <c r="E309" s="188">
        <v>9933918646</v>
      </c>
      <c r="F309" s="227">
        <v>1500</v>
      </c>
      <c r="G309" s="249">
        <v>45962</v>
      </c>
    </row>
    <row r="310" spans="1:7" ht="23.25">
      <c r="A310" s="203">
        <v>48</v>
      </c>
      <c r="B310" s="202" t="s">
        <v>136</v>
      </c>
      <c r="C310" s="201" t="s">
        <v>107</v>
      </c>
      <c r="D310" s="200"/>
      <c r="E310" s="199">
        <v>9831313288</v>
      </c>
      <c r="F310" s="227">
        <v>1200</v>
      </c>
      <c r="G310" s="249">
        <v>45962</v>
      </c>
    </row>
    <row r="311" spans="1:7" ht="23.25">
      <c r="A311" s="192">
        <v>50</v>
      </c>
      <c r="B311" s="191" t="s">
        <v>109</v>
      </c>
      <c r="C311" s="190" t="s">
        <v>110</v>
      </c>
      <c r="D311" s="189">
        <v>3</v>
      </c>
      <c r="E311" s="188">
        <v>9681710268</v>
      </c>
      <c r="F311" s="227">
        <v>1500</v>
      </c>
      <c r="G311" s="249">
        <v>45962</v>
      </c>
    </row>
    <row r="312" spans="1:7" ht="23.25">
      <c r="A312" s="188">
        <v>51</v>
      </c>
      <c r="B312" s="197" t="s">
        <v>111</v>
      </c>
      <c r="C312" s="196" t="s">
        <v>112</v>
      </c>
      <c r="D312" s="196">
        <v>3</v>
      </c>
      <c r="E312" s="195">
        <v>9434216284</v>
      </c>
      <c r="F312" s="258">
        <v>1500</v>
      </c>
      <c r="G312" s="257">
        <v>45962</v>
      </c>
    </row>
    <row r="313" spans="1:7" ht="23.25">
      <c r="A313" s="192">
        <v>52</v>
      </c>
      <c r="B313" s="191" t="s">
        <v>113</v>
      </c>
      <c r="C313" s="190" t="s">
        <v>114</v>
      </c>
      <c r="D313" s="189">
        <v>2</v>
      </c>
      <c r="E313" s="188">
        <v>9458208175</v>
      </c>
      <c r="F313" s="198">
        <v>1200</v>
      </c>
      <c r="G313" s="249">
        <v>45962</v>
      </c>
    </row>
    <row r="314" spans="1:7" ht="23.25">
      <c r="A314" s="192">
        <v>58</v>
      </c>
      <c r="B314" s="191" t="s">
        <v>120</v>
      </c>
      <c r="C314" s="190" t="s">
        <v>121</v>
      </c>
      <c r="D314" s="189">
        <v>3</v>
      </c>
      <c r="E314" s="188">
        <v>9681429435</v>
      </c>
      <c r="F314" s="198">
        <v>1500</v>
      </c>
      <c r="G314" s="249">
        <v>45962</v>
      </c>
    </row>
    <row r="315" spans="1:7" ht="23.25">
      <c r="A315" s="192">
        <v>59</v>
      </c>
      <c r="B315" s="191" t="s">
        <v>122</v>
      </c>
      <c r="C315" s="190" t="s">
        <v>123</v>
      </c>
      <c r="D315" s="189">
        <v>3</v>
      </c>
      <c r="E315" s="188">
        <v>7908970236</v>
      </c>
      <c r="F315" s="198">
        <v>1500</v>
      </c>
      <c r="G315" s="249">
        <v>45962</v>
      </c>
    </row>
    <row r="316" spans="1:7" ht="23.25">
      <c r="A316" s="192">
        <v>60</v>
      </c>
      <c r="B316" s="191" t="s">
        <v>124</v>
      </c>
      <c r="C316" s="190" t="s">
        <v>125</v>
      </c>
      <c r="D316" s="189">
        <v>2</v>
      </c>
      <c r="E316" s="188">
        <v>9046420491</v>
      </c>
      <c r="F316" s="198">
        <v>1200</v>
      </c>
      <c r="G316" s="249">
        <v>45962</v>
      </c>
    </row>
    <row r="317" spans="1:7" ht="23.25">
      <c r="A317" s="203">
        <v>62</v>
      </c>
      <c r="B317" s="256" t="s">
        <v>132</v>
      </c>
      <c r="C317" s="201"/>
      <c r="D317" s="200"/>
      <c r="E317" s="225"/>
      <c r="F317" s="198">
        <v>4400</v>
      </c>
      <c r="G317" s="244">
        <v>45940</v>
      </c>
    </row>
    <row r="318" spans="1:7" ht="23.25">
      <c r="A318" s="203">
        <v>64</v>
      </c>
      <c r="B318" s="256" t="s">
        <v>181</v>
      </c>
      <c r="C318" s="201"/>
      <c r="D318" s="200"/>
      <c r="E318" s="225"/>
      <c r="F318" s="198">
        <v>6000</v>
      </c>
      <c r="G318" s="244">
        <v>45940</v>
      </c>
    </row>
    <row r="319" spans="1:7" ht="23.25">
      <c r="A319" s="192">
        <v>1</v>
      </c>
      <c r="B319" s="191" t="s">
        <v>26</v>
      </c>
      <c r="C319" s="190" t="s">
        <v>27</v>
      </c>
      <c r="D319" s="189">
        <v>3</v>
      </c>
      <c r="E319" s="188">
        <v>9609688683</v>
      </c>
      <c r="F319" s="227">
        <v>1500</v>
      </c>
      <c r="G319" s="249">
        <v>45992</v>
      </c>
    </row>
    <row r="320" spans="1:7" ht="23.25">
      <c r="A320" s="188">
        <v>2</v>
      </c>
      <c r="B320" s="197" t="s">
        <v>28</v>
      </c>
      <c r="C320" s="196" t="s">
        <v>29</v>
      </c>
      <c r="D320" s="196">
        <v>3</v>
      </c>
      <c r="E320" s="195">
        <v>7557076444</v>
      </c>
      <c r="F320" s="204">
        <v>1300</v>
      </c>
      <c r="G320" s="250">
        <v>45992</v>
      </c>
    </row>
    <row r="321" spans="1:7" ht="23.25">
      <c r="A321" s="192">
        <v>3</v>
      </c>
      <c r="B321" s="191" t="s">
        <v>30</v>
      </c>
      <c r="C321" s="190" t="s">
        <v>31</v>
      </c>
      <c r="D321" s="189">
        <v>2</v>
      </c>
      <c r="E321" s="188">
        <v>8001604274</v>
      </c>
      <c r="F321" s="240">
        <v>1200</v>
      </c>
      <c r="G321" s="249">
        <v>45992</v>
      </c>
    </row>
    <row r="322" spans="1:7" ht="23.25">
      <c r="A322" s="192">
        <v>4</v>
      </c>
      <c r="B322" s="248" t="s">
        <v>20</v>
      </c>
      <c r="C322" s="190" t="s">
        <v>32</v>
      </c>
      <c r="D322" s="189">
        <v>2</v>
      </c>
      <c r="E322" s="207"/>
      <c r="F322" s="227">
        <v>1200</v>
      </c>
      <c r="G322" s="249">
        <v>45992</v>
      </c>
    </row>
    <row r="323" spans="1:7" ht="23.25">
      <c r="A323" s="192">
        <v>5</v>
      </c>
      <c r="B323" s="191" t="s">
        <v>33</v>
      </c>
      <c r="C323" s="190" t="s">
        <v>34</v>
      </c>
      <c r="D323" s="189">
        <v>3</v>
      </c>
      <c r="E323" s="188">
        <v>9434115212</v>
      </c>
      <c r="F323" s="227">
        <v>1500</v>
      </c>
      <c r="G323" s="249">
        <v>45992</v>
      </c>
    </row>
    <row r="324" spans="1:7" ht="23.25">
      <c r="A324" s="192">
        <v>6</v>
      </c>
      <c r="B324" s="191" t="s">
        <v>35</v>
      </c>
      <c r="C324" s="190" t="s">
        <v>243</v>
      </c>
      <c r="D324" s="189" t="s">
        <v>24</v>
      </c>
      <c r="E324" s="188">
        <v>9474561244</v>
      </c>
      <c r="F324" s="227">
        <f>1500+1200</f>
        <v>2700</v>
      </c>
      <c r="G324" s="249">
        <v>45992</v>
      </c>
    </row>
    <row r="325" spans="1:7" ht="23.25">
      <c r="A325" s="192">
        <v>7</v>
      </c>
      <c r="B325" s="228" t="s">
        <v>1</v>
      </c>
      <c r="C325" s="190" t="s">
        <v>37</v>
      </c>
      <c r="D325" s="189">
        <v>2</v>
      </c>
      <c r="E325" s="207">
        <v>9475044158</v>
      </c>
      <c r="F325" s="227">
        <v>1200</v>
      </c>
      <c r="G325" s="249">
        <v>45992</v>
      </c>
    </row>
    <row r="326" spans="1:7" ht="23.25">
      <c r="A326" s="192">
        <v>8</v>
      </c>
      <c r="B326" s="191" t="s">
        <v>0</v>
      </c>
      <c r="C326" s="196" t="s">
        <v>242</v>
      </c>
      <c r="D326" s="189" t="s">
        <v>24</v>
      </c>
      <c r="E326" s="188">
        <v>9933111420</v>
      </c>
      <c r="F326" s="227">
        <f>1500+1200</f>
        <v>2700</v>
      </c>
      <c r="G326" s="249">
        <v>45992</v>
      </c>
    </row>
    <row r="327" spans="1:7" ht="23.25">
      <c r="A327" s="192">
        <v>9</v>
      </c>
      <c r="B327" s="191" t="s">
        <v>39</v>
      </c>
      <c r="C327" s="190" t="s">
        <v>40</v>
      </c>
      <c r="D327" s="189">
        <v>3</v>
      </c>
      <c r="E327" s="188">
        <v>9427221065</v>
      </c>
      <c r="F327" s="198">
        <v>1500</v>
      </c>
      <c r="G327" s="249">
        <v>45992</v>
      </c>
    </row>
    <row r="328" spans="1:7" ht="23.25">
      <c r="A328" s="192">
        <v>11</v>
      </c>
      <c r="B328" s="191" t="s">
        <v>42</v>
      </c>
      <c r="C328" s="190" t="s">
        <v>43</v>
      </c>
      <c r="D328" s="189">
        <v>3</v>
      </c>
      <c r="E328" s="188">
        <v>8962744280</v>
      </c>
      <c r="F328" s="198">
        <v>1500</v>
      </c>
      <c r="G328" s="249">
        <v>45992</v>
      </c>
    </row>
    <row r="329" spans="1:7" ht="23.25">
      <c r="A329" s="188">
        <v>12</v>
      </c>
      <c r="B329" s="197" t="s">
        <v>44</v>
      </c>
      <c r="C329" s="196" t="s">
        <v>45</v>
      </c>
      <c r="D329" s="196">
        <v>3</v>
      </c>
      <c r="E329" s="195">
        <v>9749543529</v>
      </c>
      <c r="F329" s="204">
        <v>1500</v>
      </c>
      <c r="G329" s="250">
        <v>45992</v>
      </c>
    </row>
    <row r="330" spans="1:7" ht="23.25">
      <c r="A330" s="192">
        <v>13</v>
      </c>
      <c r="B330" s="191" t="s">
        <v>46</v>
      </c>
      <c r="C330" s="190" t="s">
        <v>47</v>
      </c>
      <c r="D330" s="189">
        <v>2</v>
      </c>
      <c r="E330" s="188">
        <v>7001420328</v>
      </c>
      <c r="F330" s="227">
        <v>1200</v>
      </c>
      <c r="G330" s="249">
        <v>45992</v>
      </c>
    </row>
    <row r="331" spans="1:7" ht="23.25">
      <c r="A331" s="192">
        <v>15</v>
      </c>
      <c r="B331" s="191" t="s">
        <v>49</v>
      </c>
      <c r="C331" s="190" t="s">
        <v>50</v>
      </c>
      <c r="D331" s="189">
        <v>3</v>
      </c>
      <c r="E331" s="188">
        <v>8918008545</v>
      </c>
      <c r="F331" s="227">
        <v>1500</v>
      </c>
      <c r="G331" s="249">
        <v>45992</v>
      </c>
    </row>
    <row r="332" spans="1:7" ht="23.25">
      <c r="A332" s="192">
        <v>16</v>
      </c>
      <c r="B332" s="191" t="s">
        <v>51</v>
      </c>
      <c r="C332" s="190" t="s">
        <v>52</v>
      </c>
      <c r="D332" s="189">
        <v>3</v>
      </c>
      <c r="E332" s="188">
        <v>8967856644</v>
      </c>
      <c r="F332" s="227">
        <v>1500</v>
      </c>
      <c r="G332" s="249">
        <v>45992</v>
      </c>
    </row>
    <row r="333" spans="1:7" ht="23.25">
      <c r="A333" s="192">
        <v>17</v>
      </c>
      <c r="B333" s="191" t="s">
        <v>53</v>
      </c>
      <c r="C333" s="190" t="s">
        <v>54</v>
      </c>
      <c r="D333" s="189">
        <v>2</v>
      </c>
      <c r="E333" s="188">
        <v>8436193278</v>
      </c>
      <c r="F333" s="227">
        <v>1200</v>
      </c>
      <c r="G333" s="249">
        <v>45992</v>
      </c>
    </row>
    <row r="334" spans="1:7" ht="23.25">
      <c r="A334" s="192">
        <v>20</v>
      </c>
      <c r="B334" s="191" t="s">
        <v>57</v>
      </c>
      <c r="C334" s="190" t="s">
        <v>58</v>
      </c>
      <c r="D334" s="189">
        <v>3</v>
      </c>
      <c r="E334" s="188">
        <v>9474039781</v>
      </c>
      <c r="F334" s="227">
        <v>1500</v>
      </c>
      <c r="G334" s="249">
        <v>45992</v>
      </c>
    </row>
    <row r="335" spans="1:7" ht="23.25">
      <c r="A335" s="192">
        <v>21</v>
      </c>
      <c r="B335" s="191" t="s">
        <v>59</v>
      </c>
      <c r="C335" s="190" t="s">
        <v>60</v>
      </c>
      <c r="D335" s="189">
        <v>2</v>
      </c>
      <c r="E335" s="188">
        <v>8789747535</v>
      </c>
      <c r="F335" s="227">
        <v>1200</v>
      </c>
      <c r="G335" s="249">
        <v>45992</v>
      </c>
    </row>
    <row r="336" spans="1:7" ht="23.25">
      <c r="A336" s="192">
        <v>22</v>
      </c>
      <c r="B336" s="191" t="s">
        <v>61</v>
      </c>
      <c r="C336" s="190" t="s">
        <v>62</v>
      </c>
      <c r="D336" s="189">
        <v>2</v>
      </c>
      <c r="E336" s="188">
        <v>9732006006</v>
      </c>
      <c r="F336" s="227">
        <v>1200</v>
      </c>
      <c r="G336" s="249">
        <v>45992</v>
      </c>
    </row>
    <row r="337" spans="1:7" ht="23.25">
      <c r="A337" s="192">
        <v>23</v>
      </c>
      <c r="B337" s="191" t="s">
        <v>63</v>
      </c>
      <c r="C337" s="190" t="s">
        <v>64</v>
      </c>
      <c r="D337" s="189">
        <v>3</v>
      </c>
      <c r="E337" s="188">
        <v>8927777001</v>
      </c>
      <c r="F337" s="227">
        <v>1500</v>
      </c>
      <c r="G337" s="249">
        <v>45992</v>
      </c>
    </row>
    <row r="338" spans="1:7" ht="46.5">
      <c r="A338" s="188">
        <v>24</v>
      </c>
      <c r="B338" s="197" t="s">
        <v>65</v>
      </c>
      <c r="C338" s="196" t="s">
        <v>66</v>
      </c>
      <c r="D338" s="196">
        <v>3</v>
      </c>
      <c r="E338" s="255" t="s">
        <v>241</v>
      </c>
      <c r="F338" s="204">
        <v>1500</v>
      </c>
      <c r="G338" s="250">
        <v>45992</v>
      </c>
    </row>
    <row r="339" spans="1:7" ht="23.25">
      <c r="A339" s="192">
        <v>25</v>
      </c>
      <c r="B339" s="191" t="s">
        <v>67</v>
      </c>
      <c r="C339" s="190" t="s">
        <v>68</v>
      </c>
      <c r="D339" s="189">
        <v>2</v>
      </c>
      <c r="E339" s="188">
        <v>9775033283</v>
      </c>
      <c r="F339" s="227">
        <v>1200</v>
      </c>
      <c r="G339" s="249">
        <v>45992</v>
      </c>
    </row>
    <row r="340" spans="1:7" ht="23.25">
      <c r="A340" s="192">
        <v>27</v>
      </c>
      <c r="B340" s="191" t="s">
        <v>70</v>
      </c>
      <c r="C340" s="190" t="s">
        <v>71</v>
      </c>
      <c r="D340" s="189">
        <v>3</v>
      </c>
      <c r="E340" s="188">
        <v>9007993440</v>
      </c>
      <c r="F340" s="227">
        <v>1500</v>
      </c>
      <c r="G340" s="249">
        <v>45992</v>
      </c>
    </row>
    <row r="341" spans="1:7" ht="23.25">
      <c r="A341" s="192">
        <v>28</v>
      </c>
      <c r="B341" s="191" t="s">
        <v>72</v>
      </c>
      <c r="C341" s="190" t="s">
        <v>73</v>
      </c>
      <c r="D341" s="189">
        <v>3</v>
      </c>
      <c r="E341" s="188">
        <v>9851121248</v>
      </c>
      <c r="F341" s="227">
        <v>1500</v>
      </c>
      <c r="G341" s="249">
        <v>45992</v>
      </c>
    </row>
    <row r="342" spans="1:7" ht="23.25">
      <c r="A342" s="192">
        <v>29</v>
      </c>
      <c r="B342" s="191" t="s">
        <v>74</v>
      </c>
      <c r="C342" s="190" t="s">
        <v>75</v>
      </c>
      <c r="D342" s="189">
        <v>2</v>
      </c>
      <c r="E342" s="188">
        <v>7908578532</v>
      </c>
      <c r="F342" s="227">
        <v>1200</v>
      </c>
      <c r="G342" s="249">
        <v>45992</v>
      </c>
    </row>
    <row r="343" spans="1:7" ht="23.25">
      <c r="A343" s="192">
        <v>30</v>
      </c>
      <c r="B343" s="191" t="s">
        <v>76</v>
      </c>
      <c r="C343" s="190" t="s">
        <v>77</v>
      </c>
      <c r="D343" s="189">
        <v>2</v>
      </c>
      <c r="E343" s="188">
        <v>8637853169</v>
      </c>
      <c r="F343" s="198">
        <v>1200</v>
      </c>
      <c r="G343" s="249">
        <v>45992</v>
      </c>
    </row>
    <row r="344" spans="1:7" ht="23.25">
      <c r="A344" s="192">
        <v>31</v>
      </c>
      <c r="B344" s="191" t="s">
        <v>78</v>
      </c>
      <c r="C344" s="190" t="s">
        <v>79</v>
      </c>
      <c r="D344" s="189">
        <v>3</v>
      </c>
      <c r="E344" s="188">
        <v>9434101485</v>
      </c>
      <c r="F344" s="227">
        <v>1500</v>
      </c>
      <c r="G344" s="249">
        <v>45992</v>
      </c>
    </row>
    <row r="345" spans="1:7" ht="23.25">
      <c r="A345" s="203">
        <v>32</v>
      </c>
      <c r="B345" s="202" t="s">
        <v>137</v>
      </c>
      <c r="C345" s="201" t="s">
        <v>80</v>
      </c>
      <c r="D345" s="200">
        <v>3</v>
      </c>
      <c r="E345" s="199">
        <v>8820411025</v>
      </c>
      <c r="F345" s="227">
        <v>1500</v>
      </c>
      <c r="G345" s="249">
        <v>45992</v>
      </c>
    </row>
    <row r="346" spans="1:7" ht="23.25">
      <c r="A346" s="188">
        <v>33</v>
      </c>
      <c r="B346" s="197" t="s">
        <v>81</v>
      </c>
      <c r="C346" s="196" t="s">
        <v>82</v>
      </c>
      <c r="D346" s="196">
        <v>2</v>
      </c>
      <c r="E346" s="195">
        <v>9749449845</v>
      </c>
      <c r="F346" s="204">
        <v>1200</v>
      </c>
      <c r="G346" s="250">
        <v>45992</v>
      </c>
    </row>
    <row r="347" spans="1:7" ht="23.25">
      <c r="A347" s="192">
        <v>34</v>
      </c>
      <c r="B347" s="191" t="s">
        <v>83</v>
      </c>
      <c r="C347" s="190" t="s">
        <v>84</v>
      </c>
      <c r="D347" s="189">
        <v>2</v>
      </c>
      <c r="E347" s="188">
        <v>9735135784</v>
      </c>
      <c r="F347" s="227">
        <v>1200</v>
      </c>
      <c r="G347" s="249">
        <v>45992</v>
      </c>
    </row>
    <row r="348" spans="1:7" ht="23.25">
      <c r="A348" s="192">
        <v>35</v>
      </c>
      <c r="B348" s="191" t="s">
        <v>85</v>
      </c>
      <c r="C348" s="190" t="s">
        <v>244</v>
      </c>
      <c r="D348" s="189" t="s">
        <v>25</v>
      </c>
      <c r="E348" s="188">
        <v>9474567580</v>
      </c>
      <c r="F348" s="238">
        <v>2700</v>
      </c>
      <c r="G348" s="249">
        <v>45992</v>
      </c>
    </row>
    <row r="349" spans="1:7" ht="23.25">
      <c r="A349" s="192">
        <v>36</v>
      </c>
      <c r="B349" s="191" t="s">
        <v>87</v>
      </c>
      <c r="C349" s="190" t="s">
        <v>88</v>
      </c>
      <c r="D349" s="189">
        <v>3</v>
      </c>
      <c r="E349" s="188">
        <v>9836087162</v>
      </c>
      <c r="F349" s="227">
        <v>1500</v>
      </c>
      <c r="G349" s="249">
        <v>45992</v>
      </c>
    </row>
    <row r="350" spans="1:7" ht="23.25">
      <c r="A350" s="192">
        <v>37</v>
      </c>
      <c r="B350" s="191" t="s">
        <v>89</v>
      </c>
      <c r="C350" s="190" t="s">
        <v>90</v>
      </c>
      <c r="D350" s="189">
        <v>2</v>
      </c>
      <c r="E350" s="188">
        <v>8101850717</v>
      </c>
      <c r="F350" s="227">
        <v>1200</v>
      </c>
      <c r="G350" s="249">
        <v>45992</v>
      </c>
    </row>
    <row r="351" spans="1:7" ht="23.25">
      <c r="A351" s="192">
        <v>38</v>
      </c>
      <c r="B351" s="191" t="s">
        <v>91</v>
      </c>
      <c r="C351" s="190" t="s">
        <v>92</v>
      </c>
      <c r="D351" s="189">
        <v>3</v>
      </c>
      <c r="E351" s="188">
        <v>8318151358</v>
      </c>
      <c r="F351" s="227">
        <v>1500</v>
      </c>
      <c r="G351" s="249">
        <v>45992</v>
      </c>
    </row>
    <row r="352" spans="1:7" ht="23.25">
      <c r="A352" s="192">
        <v>39</v>
      </c>
      <c r="B352" s="191" t="s">
        <v>93</v>
      </c>
      <c r="C352" s="190" t="s">
        <v>94</v>
      </c>
      <c r="D352" s="189">
        <v>3</v>
      </c>
      <c r="E352" s="188">
        <v>6296936814</v>
      </c>
      <c r="F352" s="227">
        <v>1500</v>
      </c>
      <c r="G352" s="249">
        <v>45992</v>
      </c>
    </row>
    <row r="353" spans="1:7" ht="23.25">
      <c r="A353" s="192">
        <v>40</v>
      </c>
      <c r="B353" s="191" t="s">
        <v>95</v>
      </c>
      <c r="C353" s="190" t="s">
        <v>96</v>
      </c>
      <c r="D353" s="189">
        <v>2</v>
      </c>
      <c r="E353" s="188">
        <v>9531571901</v>
      </c>
      <c r="F353" s="227">
        <v>1200</v>
      </c>
      <c r="G353" s="249">
        <v>45992</v>
      </c>
    </row>
    <row r="354" spans="1:7" ht="23.25">
      <c r="A354" s="192">
        <v>42</v>
      </c>
      <c r="B354" s="191" t="s">
        <v>98</v>
      </c>
      <c r="C354" s="190" t="s">
        <v>99</v>
      </c>
      <c r="D354" s="189">
        <v>3</v>
      </c>
      <c r="E354" s="188">
        <v>7680914260</v>
      </c>
      <c r="F354" s="227">
        <v>1500</v>
      </c>
      <c r="G354" s="249">
        <v>45992</v>
      </c>
    </row>
    <row r="355" spans="1:7" ht="23.25">
      <c r="A355" s="225">
        <v>43</v>
      </c>
      <c r="B355" s="224" t="s">
        <v>134</v>
      </c>
      <c r="C355" s="223" t="s">
        <v>100</v>
      </c>
      <c r="D355" s="223">
        <v>3</v>
      </c>
      <c r="E355" s="222">
        <v>7044376634</v>
      </c>
      <c r="F355" s="204">
        <v>1500</v>
      </c>
      <c r="G355" s="254">
        <v>45996</v>
      </c>
    </row>
    <row r="356" spans="1:7" ht="23.25">
      <c r="A356" s="203">
        <v>44</v>
      </c>
      <c r="B356" s="202" t="s">
        <v>135</v>
      </c>
      <c r="C356" s="201" t="s">
        <v>101</v>
      </c>
      <c r="D356" s="200">
        <v>2</v>
      </c>
      <c r="E356" s="199">
        <v>7908550094</v>
      </c>
      <c r="F356" s="240">
        <v>1200</v>
      </c>
      <c r="G356" s="253">
        <v>45996</v>
      </c>
    </row>
    <row r="357" spans="1:7" ht="23.25">
      <c r="A357" s="192">
        <v>46</v>
      </c>
      <c r="B357" s="191" t="s">
        <v>103</v>
      </c>
      <c r="C357" s="190" t="s">
        <v>104</v>
      </c>
      <c r="D357" s="189">
        <v>3</v>
      </c>
      <c r="E357" s="188">
        <v>7908182143</v>
      </c>
      <c r="F357" s="240">
        <v>1500</v>
      </c>
      <c r="G357" s="249">
        <v>45992</v>
      </c>
    </row>
    <row r="358" spans="1:7" ht="23.25">
      <c r="A358" s="192">
        <v>47</v>
      </c>
      <c r="B358" s="191" t="s">
        <v>105</v>
      </c>
      <c r="C358" s="190" t="s">
        <v>106</v>
      </c>
      <c r="D358" s="189">
        <v>3</v>
      </c>
      <c r="E358" s="188">
        <v>9933918646</v>
      </c>
      <c r="F358" s="252">
        <v>1500</v>
      </c>
      <c r="G358" s="251">
        <v>45992</v>
      </c>
    </row>
    <row r="359" spans="1:7" ht="23.25">
      <c r="A359" s="203">
        <v>48</v>
      </c>
      <c r="B359" s="202" t="s">
        <v>136</v>
      </c>
      <c r="C359" s="201" t="s">
        <v>107</v>
      </c>
      <c r="D359" s="200"/>
      <c r="E359" s="199">
        <v>9831313288</v>
      </c>
      <c r="F359" s="227">
        <v>1200</v>
      </c>
      <c r="G359" s="249">
        <v>45992</v>
      </c>
    </row>
    <row r="360" spans="1:7" ht="23.25">
      <c r="A360" s="192">
        <v>50</v>
      </c>
      <c r="B360" s="191" t="s">
        <v>109</v>
      </c>
      <c r="C360" s="190" t="s">
        <v>110</v>
      </c>
      <c r="D360" s="189">
        <v>3</v>
      </c>
      <c r="E360" s="188">
        <v>9681710268</v>
      </c>
      <c r="F360" s="227">
        <v>1500</v>
      </c>
      <c r="G360" s="249">
        <v>45992</v>
      </c>
    </row>
    <row r="361" spans="1:7" ht="23.25">
      <c r="A361" s="192">
        <v>51</v>
      </c>
      <c r="B361" s="191" t="s">
        <v>111</v>
      </c>
      <c r="C361" s="190" t="s">
        <v>112</v>
      </c>
      <c r="D361" s="189">
        <v>3</v>
      </c>
      <c r="E361" s="188">
        <v>9434216284</v>
      </c>
      <c r="F361" s="227">
        <v>1500</v>
      </c>
      <c r="G361" s="249">
        <v>45992</v>
      </c>
    </row>
    <row r="362" spans="1:7" ht="23.25">
      <c r="A362" s="192">
        <v>52</v>
      </c>
      <c r="B362" s="191" t="s">
        <v>113</v>
      </c>
      <c r="C362" s="190" t="s">
        <v>114</v>
      </c>
      <c r="D362" s="189">
        <v>2</v>
      </c>
      <c r="E362" s="188">
        <v>9458208175</v>
      </c>
      <c r="F362" s="227">
        <v>1200</v>
      </c>
      <c r="G362" s="249">
        <v>45992</v>
      </c>
    </row>
    <row r="363" spans="1:7" ht="23.25">
      <c r="A363" s="192">
        <v>58</v>
      </c>
      <c r="B363" s="191" t="s">
        <v>120</v>
      </c>
      <c r="C363" s="190" t="s">
        <v>121</v>
      </c>
      <c r="D363" s="189">
        <v>3</v>
      </c>
      <c r="E363" s="188">
        <v>9681429435</v>
      </c>
      <c r="F363" s="240">
        <v>1500</v>
      </c>
      <c r="G363" s="249">
        <v>45992</v>
      </c>
    </row>
    <row r="364" spans="1:7" ht="23.25">
      <c r="A364" s="188">
        <v>59</v>
      </c>
      <c r="B364" s="197" t="s">
        <v>122</v>
      </c>
      <c r="C364" s="196" t="s">
        <v>123</v>
      </c>
      <c r="D364" s="196">
        <v>3</v>
      </c>
      <c r="E364" s="195">
        <v>7908970236</v>
      </c>
      <c r="F364" s="194">
        <v>1500</v>
      </c>
      <c r="G364" s="250">
        <v>45992</v>
      </c>
    </row>
    <row r="365" spans="1:7" ht="23.25">
      <c r="A365" s="192">
        <v>60</v>
      </c>
      <c r="B365" s="191" t="s">
        <v>124</v>
      </c>
      <c r="C365" s="190" t="s">
        <v>125</v>
      </c>
      <c r="D365" s="189">
        <v>2</v>
      </c>
      <c r="E365" s="188">
        <v>9046420491</v>
      </c>
      <c r="F365" s="240">
        <v>1200</v>
      </c>
      <c r="G365" s="249">
        <v>45992</v>
      </c>
    </row>
    <row r="366" spans="1:7" ht="23.25">
      <c r="A366" s="192">
        <v>1</v>
      </c>
      <c r="B366" s="191" t="s">
        <v>26</v>
      </c>
      <c r="C366" s="190" t="s">
        <v>27</v>
      </c>
      <c r="D366" s="189">
        <v>3</v>
      </c>
      <c r="E366" s="188">
        <v>9609688683</v>
      </c>
      <c r="F366" s="227">
        <v>1500</v>
      </c>
      <c r="G366" s="226">
        <v>46023</v>
      </c>
    </row>
    <row r="367" spans="1:7" ht="23.25">
      <c r="A367" s="192">
        <v>2</v>
      </c>
      <c r="B367" s="191" t="s">
        <v>28</v>
      </c>
      <c r="C367" s="190" t="s">
        <v>29</v>
      </c>
      <c r="D367" s="189">
        <v>3</v>
      </c>
      <c r="E367" s="188">
        <v>7557076444</v>
      </c>
      <c r="F367" s="227">
        <v>1300</v>
      </c>
      <c r="G367" s="226">
        <v>46023</v>
      </c>
    </row>
    <row r="368" spans="1:7" ht="23.25">
      <c r="A368" s="192">
        <v>3</v>
      </c>
      <c r="B368" s="191" t="s">
        <v>30</v>
      </c>
      <c r="C368" s="190" t="s">
        <v>31</v>
      </c>
      <c r="D368" s="189">
        <v>2</v>
      </c>
      <c r="E368" s="188">
        <v>8001604274</v>
      </c>
      <c r="F368" s="240">
        <v>1200</v>
      </c>
      <c r="G368" s="226">
        <v>46023</v>
      </c>
    </row>
    <row r="369" spans="1:7" ht="23.25">
      <c r="A369" s="192">
        <v>4</v>
      </c>
      <c r="B369" s="248" t="s">
        <v>20</v>
      </c>
      <c r="C369" s="190" t="s">
        <v>32</v>
      </c>
      <c r="D369" s="189">
        <v>2</v>
      </c>
      <c r="E369" s="207"/>
      <c r="F369" s="198">
        <v>1200</v>
      </c>
      <c r="G369" s="226">
        <v>46023</v>
      </c>
    </row>
    <row r="370" spans="1:7" ht="23.25">
      <c r="A370" s="192">
        <v>5</v>
      </c>
      <c r="B370" s="191" t="s">
        <v>33</v>
      </c>
      <c r="C370" s="190" t="s">
        <v>34</v>
      </c>
      <c r="D370" s="189">
        <v>3</v>
      </c>
      <c r="E370" s="188">
        <v>9434115212</v>
      </c>
      <c r="F370" s="198">
        <v>1500</v>
      </c>
      <c r="G370" s="226">
        <v>46023</v>
      </c>
    </row>
    <row r="371" spans="1:7" ht="23.25">
      <c r="A371" s="192">
        <v>6</v>
      </c>
      <c r="B371" s="191" t="s">
        <v>35</v>
      </c>
      <c r="C371" s="190" t="s">
        <v>243</v>
      </c>
      <c r="D371" s="189" t="s">
        <v>24</v>
      </c>
      <c r="E371" s="188">
        <v>9474561244</v>
      </c>
      <c r="F371" s="198">
        <f>1500+1200</f>
        <v>2700</v>
      </c>
      <c r="G371" s="226">
        <v>46023</v>
      </c>
    </row>
    <row r="372" spans="1:7" ht="23.25">
      <c r="A372" s="192">
        <v>7</v>
      </c>
      <c r="B372" s="228" t="s">
        <v>1</v>
      </c>
      <c r="C372" s="190" t="s">
        <v>37</v>
      </c>
      <c r="D372" s="189">
        <v>2</v>
      </c>
      <c r="E372" s="207">
        <v>9475044158</v>
      </c>
      <c r="F372" s="227">
        <v>1200</v>
      </c>
      <c r="G372" s="226">
        <v>46023</v>
      </c>
    </row>
    <row r="373" spans="1:7" ht="23.25">
      <c r="A373" s="217">
        <v>8</v>
      </c>
      <c r="B373" s="216" t="s">
        <v>0</v>
      </c>
      <c r="C373" s="196" t="s">
        <v>242</v>
      </c>
      <c r="D373" s="214" t="s">
        <v>24</v>
      </c>
      <c r="E373" s="213">
        <v>9933111420</v>
      </c>
      <c r="F373" s="247">
        <f>1500+1200</f>
        <v>2700</v>
      </c>
      <c r="G373" s="246">
        <v>46023</v>
      </c>
    </row>
    <row r="374" spans="1:7" ht="23.25">
      <c r="A374" s="192">
        <v>9</v>
      </c>
      <c r="B374" s="216" t="s">
        <v>39</v>
      </c>
      <c r="C374" s="215" t="s">
        <v>40</v>
      </c>
      <c r="D374" s="214">
        <v>3</v>
      </c>
      <c r="E374" s="213">
        <v>9427221065</v>
      </c>
      <c r="F374" s="247">
        <v>1500</v>
      </c>
      <c r="G374" s="246">
        <v>46023</v>
      </c>
    </row>
    <row r="375" spans="1:7" ht="23.25">
      <c r="A375" s="217">
        <v>11</v>
      </c>
      <c r="B375" s="216" t="s">
        <v>42</v>
      </c>
      <c r="C375" s="215" t="s">
        <v>43</v>
      </c>
      <c r="D375" s="214">
        <v>3</v>
      </c>
      <c r="E375" s="213">
        <v>8962744280</v>
      </c>
      <c r="F375" s="247">
        <v>1500</v>
      </c>
      <c r="G375" s="246">
        <v>46023</v>
      </c>
    </row>
    <row r="376" spans="1:7" ht="23.25">
      <c r="A376" s="217">
        <v>12</v>
      </c>
      <c r="B376" s="216" t="s">
        <v>44</v>
      </c>
      <c r="C376" s="215" t="s">
        <v>45</v>
      </c>
      <c r="D376" s="214">
        <v>3</v>
      </c>
      <c r="E376" s="213">
        <v>9749543529</v>
      </c>
      <c r="F376" s="247">
        <v>1500</v>
      </c>
      <c r="G376" s="246">
        <v>46023</v>
      </c>
    </row>
    <row r="377" spans="1:7" ht="23.25">
      <c r="A377" s="208">
        <v>13</v>
      </c>
      <c r="B377" s="210" t="s">
        <v>46</v>
      </c>
      <c r="C377" s="209" t="s">
        <v>47</v>
      </c>
      <c r="D377" s="209">
        <v>2</v>
      </c>
      <c r="E377" s="208">
        <v>7001420328</v>
      </c>
      <c r="F377" s="198">
        <v>1200</v>
      </c>
      <c r="G377" s="186">
        <v>46023</v>
      </c>
    </row>
    <row r="378" spans="1:7" ht="23.25">
      <c r="A378" s="192">
        <v>15</v>
      </c>
      <c r="B378" s="191" t="s">
        <v>49</v>
      </c>
      <c r="C378" s="190" t="s">
        <v>50</v>
      </c>
      <c r="D378" s="189">
        <v>3</v>
      </c>
      <c r="E378" s="188">
        <v>8918008545</v>
      </c>
      <c r="F378" s="198">
        <v>1500</v>
      </c>
      <c r="G378" s="186">
        <v>46023</v>
      </c>
    </row>
    <row r="379" spans="1:7" ht="23.25">
      <c r="A379" s="192">
        <v>16</v>
      </c>
      <c r="B379" s="191" t="s">
        <v>51</v>
      </c>
      <c r="C379" s="190" t="s">
        <v>52</v>
      </c>
      <c r="D379" s="189">
        <v>3</v>
      </c>
      <c r="E379" s="188">
        <v>8967856644</v>
      </c>
      <c r="F379" s="227">
        <v>1500</v>
      </c>
      <c r="G379" s="226">
        <v>46023</v>
      </c>
    </row>
    <row r="380" spans="1:7" ht="23.25">
      <c r="A380" s="192">
        <v>17</v>
      </c>
      <c r="B380" s="191" t="s">
        <v>53</v>
      </c>
      <c r="C380" s="190" t="s">
        <v>54</v>
      </c>
      <c r="D380" s="189">
        <v>2</v>
      </c>
      <c r="E380" s="188">
        <v>8436193278</v>
      </c>
      <c r="F380" s="227">
        <v>1200</v>
      </c>
      <c r="G380" s="226">
        <v>46023</v>
      </c>
    </row>
    <row r="381" spans="1:7" ht="23.25">
      <c r="A381" s="192">
        <v>20</v>
      </c>
      <c r="B381" s="191" t="s">
        <v>57</v>
      </c>
      <c r="C381" s="190" t="s">
        <v>58</v>
      </c>
      <c r="D381" s="189">
        <v>3</v>
      </c>
      <c r="E381" s="188">
        <v>9474039781</v>
      </c>
      <c r="F381" s="198">
        <v>1500</v>
      </c>
      <c r="G381" s="226">
        <v>46023</v>
      </c>
    </row>
    <row r="382" spans="1:7" ht="23.25">
      <c r="A382" s="192">
        <v>21</v>
      </c>
      <c r="B382" s="191" t="s">
        <v>59</v>
      </c>
      <c r="C382" s="190" t="s">
        <v>60</v>
      </c>
      <c r="D382" s="189">
        <v>2</v>
      </c>
      <c r="E382" s="188">
        <v>8789747535</v>
      </c>
      <c r="F382" s="198">
        <v>1200</v>
      </c>
      <c r="G382" s="226">
        <v>46023</v>
      </c>
    </row>
    <row r="383" spans="1:7" ht="23.25">
      <c r="A383" s="192">
        <v>22</v>
      </c>
      <c r="B383" s="191" t="s">
        <v>61</v>
      </c>
      <c r="C383" s="190" t="s">
        <v>62</v>
      </c>
      <c r="D383" s="189">
        <v>2</v>
      </c>
      <c r="E383" s="188">
        <v>9732006006</v>
      </c>
      <c r="F383" s="198">
        <v>1200</v>
      </c>
      <c r="G383" s="226">
        <v>46023</v>
      </c>
    </row>
    <row r="384" spans="1:7" ht="23.25">
      <c r="A384" s="192">
        <v>23</v>
      </c>
      <c r="B384" s="191" t="s">
        <v>63</v>
      </c>
      <c r="C384" s="190" t="s">
        <v>64</v>
      </c>
      <c r="D384" s="189">
        <v>3</v>
      </c>
      <c r="E384" s="188">
        <v>8927777001</v>
      </c>
      <c r="F384" s="198">
        <v>1500</v>
      </c>
      <c r="G384" s="226">
        <v>46023</v>
      </c>
    </row>
    <row r="385" spans="1:7" ht="46.5">
      <c r="A385" s="192">
        <v>24</v>
      </c>
      <c r="B385" s="191" t="s">
        <v>65</v>
      </c>
      <c r="C385" s="190" t="s">
        <v>66</v>
      </c>
      <c r="D385" s="189">
        <v>3</v>
      </c>
      <c r="E385" s="207" t="s">
        <v>241</v>
      </c>
      <c r="F385" s="198">
        <v>1500</v>
      </c>
      <c r="G385" s="226">
        <v>46023</v>
      </c>
    </row>
    <row r="386" spans="1:7" ht="23.25">
      <c r="A386" s="188">
        <v>25</v>
      </c>
      <c r="B386" s="197" t="s">
        <v>67</v>
      </c>
      <c r="C386" s="196" t="s">
        <v>68</v>
      </c>
      <c r="D386" s="196">
        <v>2</v>
      </c>
      <c r="E386" s="195">
        <v>9775033283</v>
      </c>
      <c r="F386" s="198">
        <v>1200</v>
      </c>
      <c r="G386" s="186">
        <v>46023</v>
      </c>
    </row>
    <row r="387" spans="1:7" ht="23.25">
      <c r="A387" s="192">
        <v>27</v>
      </c>
      <c r="B387" s="191" t="s">
        <v>70</v>
      </c>
      <c r="C387" s="190" t="s">
        <v>71</v>
      </c>
      <c r="D387" s="189">
        <v>3</v>
      </c>
      <c r="E387" s="188">
        <v>9007993440</v>
      </c>
      <c r="F387" s="198">
        <v>1500</v>
      </c>
      <c r="G387" s="226">
        <v>46023</v>
      </c>
    </row>
    <row r="388" spans="1:7" ht="23.25">
      <c r="A388" s="192">
        <v>28</v>
      </c>
      <c r="B388" s="191" t="s">
        <v>72</v>
      </c>
      <c r="C388" s="190" t="s">
        <v>73</v>
      </c>
      <c r="D388" s="189">
        <v>3</v>
      </c>
      <c r="E388" s="188">
        <v>9851121248</v>
      </c>
      <c r="F388" s="198">
        <v>1500</v>
      </c>
      <c r="G388" s="226">
        <v>46023</v>
      </c>
    </row>
    <row r="389" spans="1:7" ht="23.25">
      <c r="A389" s="192">
        <v>29</v>
      </c>
      <c r="B389" s="191" t="s">
        <v>74</v>
      </c>
      <c r="C389" s="190" t="s">
        <v>75</v>
      </c>
      <c r="D389" s="189">
        <v>2</v>
      </c>
      <c r="E389" s="188">
        <v>7908578532</v>
      </c>
      <c r="F389" s="198">
        <v>1200</v>
      </c>
      <c r="G389" s="186">
        <v>46023</v>
      </c>
    </row>
    <row r="390" spans="1:7" ht="23.25">
      <c r="A390" s="192">
        <v>30</v>
      </c>
      <c r="B390" s="191" t="s">
        <v>76</v>
      </c>
      <c r="C390" s="190" t="s">
        <v>77</v>
      </c>
      <c r="D390" s="189">
        <v>2</v>
      </c>
      <c r="E390" s="188">
        <v>8637853169</v>
      </c>
      <c r="F390" s="198">
        <v>1200</v>
      </c>
      <c r="G390" s="226">
        <v>46023</v>
      </c>
    </row>
    <row r="391" spans="1:7" ht="23.25">
      <c r="A391" s="192">
        <v>31</v>
      </c>
      <c r="B391" s="191" t="s">
        <v>78</v>
      </c>
      <c r="C391" s="190" t="s">
        <v>79</v>
      </c>
      <c r="D391" s="189">
        <v>3</v>
      </c>
      <c r="E391" s="188">
        <v>9434101485</v>
      </c>
      <c r="F391" s="198">
        <v>1500</v>
      </c>
      <c r="G391" s="226">
        <v>46023</v>
      </c>
    </row>
    <row r="392" spans="1:7" ht="23.25">
      <c r="A392" s="203">
        <v>32</v>
      </c>
      <c r="B392" s="202" t="s">
        <v>137</v>
      </c>
      <c r="C392" s="201" t="s">
        <v>80</v>
      </c>
      <c r="D392" s="200">
        <v>3</v>
      </c>
      <c r="E392" s="199">
        <v>8820411025</v>
      </c>
      <c r="F392" s="198">
        <v>1500</v>
      </c>
      <c r="G392" s="226">
        <v>46023</v>
      </c>
    </row>
    <row r="393" spans="1:7" ht="23.25">
      <c r="A393" s="192">
        <v>33</v>
      </c>
      <c r="B393" s="191" t="s">
        <v>81</v>
      </c>
      <c r="C393" s="190" t="s">
        <v>82</v>
      </c>
      <c r="D393" s="189">
        <v>2</v>
      </c>
      <c r="E393" s="188">
        <v>9749449845</v>
      </c>
      <c r="F393" s="198">
        <v>1200</v>
      </c>
      <c r="G393" s="186">
        <v>46023</v>
      </c>
    </row>
    <row r="394" spans="1:7" ht="23.25">
      <c r="A394" s="188">
        <v>34</v>
      </c>
      <c r="B394" s="197" t="s">
        <v>83</v>
      </c>
      <c r="C394" s="196" t="s">
        <v>84</v>
      </c>
      <c r="D394" s="196">
        <v>2</v>
      </c>
      <c r="E394" s="195">
        <v>9735135784</v>
      </c>
      <c r="F394" s="206">
        <v>1200</v>
      </c>
      <c r="G394" s="193">
        <v>46023</v>
      </c>
    </row>
    <row r="395" spans="1:7" ht="23.25">
      <c r="A395" s="192">
        <v>35</v>
      </c>
      <c r="B395" s="191" t="s">
        <v>85</v>
      </c>
      <c r="C395" s="190" t="s">
        <v>244</v>
      </c>
      <c r="D395" s="189" t="s">
        <v>25</v>
      </c>
      <c r="E395" s="188">
        <v>9474567580</v>
      </c>
      <c r="F395" s="245">
        <v>2700</v>
      </c>
      <c r="G395" s="226">
        <v>46023</v>
      </c>
    </row>
    <row r="396" spans="1:7" ht="23.25">
      <c r="A396" s="192">
        <v>36</v>
      </c>
      <c r="B396" s="191" t="s">
        <v>87</v>
      </c>
      <c r="C396" s="190" t="s">
        <v>88</v>
      </c>
      <c r="D396" s="189">
        <v>3</v>
      </c>
      <c r="E396" s="188">
        <v>9836087162</v>
      </c>
      <c r="F396" s="227">
        <v>1500</v>
      </c>
      <c r="G396" s="226">
        <v>46023</v>
      </c>
    </row>
    <row r="397" spans="1:7" ht="23.25">
      <c r="A397" s="192">
        <v>37</v>
      </c>
      <c r="B397" s="191" t="s">
        <v>89</v>
      </c>
      <c r="C397" s="190" t="s">
        <v>90</v>
      </c>
      <c r="D397" s="189">
        <v>2</v>
      </c>
      <c r="E397" s="188">
        <v>8101850717</v>
      </c>
      <c r="F397" s="227">
        <v>1200</v>
      </c>
      <c r="G397" s="226">
        <v>46023</v>
      </c>
    </row>
    <row r="398" spans="1:7" ht="23.25">
      <c r="A398" s="192">
        <v>38</v>
      </c>
      <c r="B398" s="191" t="s">
        <v>91</v>
      </c>
      <c r="C398" s="190" t="s">
        <v>92</v>
      </c>
      <c r="D398" s="189">
        <v>3</v>
      </c>
      <c r="E398" s="188">
        <v>8318151358</v>
      </c>
      <c r="F398" s="198">
        <v>1500</v>
      </c>
      <c r="G398" s="186">
        <v>46023</v>
      </c>
    </row>
    <row r="399" spans="1:7" ht="23.25">
      <c r="A399" s="192">
        <v>39</v>
      </c>
      <c r="B399" s="191" t="s">
        <v>93</v>
      </c>
      <c r="C399" s="190" t="s">
        <v>94</v>
      </c>
      <c r="D399" s="189">
        <v>3</v>
      </c>
      <c r="E399" s="188">
        <v>6296936814</v>
      </c>
      <c r="F399" s="198">
        <v>1500</v>
      </c>
      <c r="G399" s="186">
        <v>46023</v>
      </c>
    </row>
    <row r="400" spans="1:7" ht="23.25">
      <c r="A400" s="192">
        <v>40</v>
      </c>
      <c r="B400" s="191" t="s">
        <v>95</v>
      </c>
      <c r="C400" s="190" t="s">
        <v>96</v>
      </c>
      <c r="D400" s="189">
        <v>2</v>
      </c>
      <c r="E400" s="188">
        <v>9531571901</v>
      </c>
      <c r="F400" s="227">
        <v>1200</v>
      </c>
      <c r="G400" s="226">
        <v>46023</v>
      </c>
    </row>
    <row r="401" spans="1:7" ht="23.25">
      <c r="A401" s="192">
        <v>42</v>
      </c>
      <c r="B401" s="191" t="s">
        <v>98</v>
      </c>
      <c r="C401" s="190" t="s">
        <v>99</v>
      </c>
      <c r="D401" s="189">
        <v>3</v>
      </c>
      <c r="E401" s="188">
        <v>7680914260</v>
      </c>
      <c r="F401" s="198">
        <v>1500</v>
      </c>
      <c r="G401" s="226">
        <v>46023</v>
      </c>
    </row>
    <row r="402" spans="1:7" ht="23.25">
      <c r="A402" s="203">
        <v>43</v>
      </c>
      <c r="B402" s="202" t="s">
        <v>134</v>
      </c>
      <c r="C402" s="201" t="s">
        <v>100</v>
      </c>
      <c r="D402" s="200">
        <v>3</v>
      </c>
      <c r="E402" s="199">
        <v>7044376634</v>
      </c>
      <c r="F402" s="198">
        <v>1500</v>
      </c>
      <c r="G402" s="244">
        <v>45996</v>
      </c>
    </row>
    <row r="403" spans="1:7" ht="23.25">
      <c r="A403" s="225">
        <v>44</v>
      </c>
      <c r="B403" s="224" t="s">
        <v>135</v>
      </c>
      <c r="C403" s="223" t="s">
        <v>101</v>
      </c>
      <c r="D403" s="223">
        <v>2</v>
      </c>
      <c r="E403" s="222">
        <v>7908550094</v>
      </c>
      <c r="F403" s="239">
        <v>1200</v>
      </c>
      <c r="G403" s="243">
        <v>45996</v>
      </c>
    </row>
    <row r="404" spans="1:7" ht="23.25">
      <c r="A404" s="192">
        <v>46</v>
      </c>
      <c r="B404" s="191" t="s">
        <v>103</v>
      </c>
      <c r="C404" s="190" t="s">
        <v>104</v>
      </c>
      <c r="D404" s="189">
        <v>3</v>
      </c>
      <c r="E404" s="188">
        <v>7908182143</v>
      </c>
      <c r="F404" s="240">
        <v>1500</v>
      </c>
      <c r="G404" s="226">
        <v>46023</v>
      </c>
    </row>
    <row r="405" spans="1:7" ht="23.25">
      <c r="A405" s="203">
        <v>48</v>
      </c>
      <c r="B405" s="202" t="s">
        <v>136</v>
      </c>
      <c r="C405" s="201" t="s">
        <v>107</v>
      </c>
      <c r="D405" s="200"/>
      <c r="E405" s="199">
        <v>9831313288</v>
      </c>
      <c r="F405" s="227">
        <v>1200</v>
      </c>
      <c r="G405" s="226">
        <v>46023</v>
      </c>
    </row>
    <row r="406" spans="1:7" ht="23.25">
      <c r="A406" s="192">
        <v>50</v>
      </c>
      <c r="B406" s="191" t="s">
        <v>109</v>
      </c>
      <c r="C406" s="190" t="s">
        <v>110</v>
      </c>
      <c r="D406" s="189">
        <v>3</v>
      </c>
      <c r="E406" s="188">
        <v>9681710268</v>
      </c>
      <c r="F406" s="227">
        <v>1500</v>
      </c>
      <c r="G406" s="226">
        <v>46023</v>
      </c>
    </row>
    <row r="407" spans="1:7" ht="23.25">
      <c r="A407" s="192">
        <v>51</v>
      </c>
      <c r="B407" s="191" t="s">
        <v>111</v>
      </c>
      <c r="C407" s="190" t="s">
        <v>112</v>
      </c>
      <c r="D407" s="189">
        <v>3</v>
      </c>
      <c r="E407" s="188">
        <v>9434216284</v>
      </c>
      <c r="F407" s="198">
        <v>1500</v>
      </c>
      <c r="G407" s="186">
        <v>46023</v>
      </c>
    </row>
    <row r="408" spans="1:7" ht="23.25">
      <c r="A408" s="192">
        <v>52</v>
      </c>
      <c r="B408" s="191" t="s">
        <v>113</v>
      </c>
      <c r="C408" s="190" t="s">
        <v>114</v>
      </c>
      <c r="D408" s="189">
        <v>2</v>
      </c>
      <c r="E408" s="188">
        <v>9458208175</v>
      </c>
      <c r="F408" s="227">
        <v>1200</v>
      </c>
      <c r="G408" s="226">
        <v>46023</v>
      </c>
    </row>
    <row r="409" spans="1:7" ht="23.25">
      <c r="A409" s="192">
        <v>58</v>
      </c>
      <c r="B409" s="191" t="s">
        <v>120</v>
      </c>
      <c r="C409" s="190" t="s">
        <v>121</v>
      </c>
      <c r="D409" s="189">
        <v>3</v>
      </c>
      <c r="E409" s="188">
        <v>9681429435</v>
      </c>
      <c r="F409" s="240">
        <v>1500</v>
      </c>
      <c r="G409" s="226">
        <v>46023</v>
      </c>
    </row>
    <row r="410" spans="1:7" ht="23.25">
      <c r="A410" s="192">
        <v>59</v>
      </c>
      <c r="B410" s="191" t="s">
        <v>122</v>
      </c>
      <c r="C410" s="190" t="s">
        <v>123</v>
      </c>
      <c r="D410" s="189">
        <v>3</v>
      </c>
      <c r="E410" s="188">
        <v>7908970236</v>
      </c>
      <c r="F410" s="240">
        <v>1500</v>
      </c>
      <c r="G410" s="226">
        <v>46023</v>
      </c>
    </row>
    <row r="411" spans="1:7" ht="23.25">
      <c r="A411" s="192">
        <v>60</v>
      </c>
      <c r="B411" s="191" t="s">
        <v>124</v>
      </c>
      <c r="C411" s="190" t="s">
        <v>125</v>
      </c>
      <c r="D411" s="189">
        <v>2</v>
      </c>
      <c r="E411" s="188">
        <v>9046420491</v>
      </c>
      <c r="F411" s="240">
        <v>1200</v>
      </c>
      <c r="G411" s="226">
        <v>46023</v>
      </c>
    </row>
    <row r="412" spans="1:7" ht="23.25">
      <c r="A412" s="225">
        <v>64</v>
      </c>
      <c r="B412" s="242" t="s">
        <v>181</v>
      </c>
      <c r="C412" s="223"/>
      <c r="D412" s="223"/>
      <c r="E412" s="241"/>
      <c r="F412" s="239">
        <v>4000</v>
      </c>
      <c r="G412" s="193">
        <v>46023</v>
      </c>
    </row>
    <row r="413" spans="1:7" ht="23.25">
      <c r="A413" s="192">
        <v>1</v>
      </c>
      <c r="B413" s="191" t="s">
        <v>26</v>
      </c>
      <c r="C413" s="190" t="s">
        <v>27</v>
      </c>
      <c r="D413" s="189">
        <v>3</v>
      </c>
      <c r="E413" s="188">
        <v>9609688683</v>
      </c>
      <c r="F413" s="227">
        <v>1500</v>
      </c>
      <c r="G413" s="226">
        <v>46054</v>
      </c>
    </row>
    <row r="414" spans="1:7" ht="23.25">
      <c r="A414" s="192">
        <v>2</v>
      </c>
      <c r="B414" s="191" t="s">
        <v>28</v>
      </c>
      <c r="C414" s="190" t="s">
        <v>29</v>
      </c>
      <c r="D414" s="189">
        <v>3</v>
      </c>
      <c r="E414" s="188">
        <v>7557076444</v>
      </c>
      <c r="F414" s="227">
        <v>1300</v>
      </c>
      <c r="G414" s="226">
        <v>46054</v>
      </c>
    </row>
    <row r="415" spans="1:7" ht="23.25">
      <c r="A415" s="192">
        <v>3</v>
      </c>
      <c r="B415" s="191" t="s">
        <v>30</v>
      </c>
      <c r="C415" s="190" t="s">
        <v>31</v>
      </c>
      <c r="D415" s="189">
        <v>2</v>
      </c>
      <c r="E415" s="188">
        <v>8001604274</v>
      </c>
      <c r="F415" s="240">
        <v>1200</v>
      </c>
      <c r="G415" s="226">
        <v>46054</v>
      </c>
    </row>
    <row r="416" spans="1:7" ht="23.25">
      <c r="A416" s="192">
        <v>5</v>
      </c>
      <c r="B416" s="191" t="s">
        <v>33</v>
      </c>
      <c r="C416" s="190" t="s">
        <v>34</v>
      </c>
      <c r="D416" s="189">
        <v>3</v>
      </c>
      <c r="E416" s="188">
        <v>9434115212</v>
      </c>
      <c r="F416" s="227">
        <v>1500</v>
      </c>
      <c r="G416" s="226">
        <v>46054</v>
      </c>
    </row>
    <row r="417" spans="1:7" ht="23.25">
      <c r="A417" s="192">
        <v>6</v>
      </c>
      <c r="B417" s="191" t="s">
        <v>35</v>
      </c>
      <c r="C417" s="190" t="s">
        <v>243</v>
      </c>
      <c r="D417" s="189" t="s">
        <v>24</v>
      </c>
      <c r="E417" s="188">
        <v>9474561244</v>
      </c>
      <c r="F417" s="198">
        <f>1500+1200</f>
        <v>2700</v>
      </c>
      <c r="G417" s="226">
        <v>46054</v>
      </c>
    </row>
    <row r="418" spans="1:7" ht="23.25">
      <c r="A418" s="192">
        <v>7</v>
      </c>
      <c r="B418" s="228" t="s">
        <v>1</v>
      </c>
      <c r="C418" s="190" t="s">
        <v>37</v>
      </c>
      <c r="D418" s="189">
        <v>2</v>
      </c>
      <c r="E418" s="207">
        <v>9475044158</v>
      </c>
      <c r="F418" s="227">
        <v>1200</v>
      </c>
      <c r="G418" s="226">
        <v>46054</v>
      </c>
    </row>
    <row r="419" spans="1:7" ht="23.25">
      <c r="A419" s="192">
        <v>8</v>
      </c>
      <c r="B419" s="191" t="s">
        <v>0</v>
      </c>
      <c r="C419" s="196" t="s">
        <v>242</v>
      </c>
      <c r="D419" s="189" t="s">
        <v>24</v>
      </c>
      <c r="E419" s="188">
        <v>9933111420</v>
      </c>
      <c r="F419" s="240">
        <f>1500+1200</f>
        <v>2700</v>
      </c>
      <c r="G419" s="226">
        <v>46054</v>
      </c>
    </row>
    <row r="420" spans="1:7" ht="23.25">
      <c r="A420" s="188">
        <v>9</v>
      </c>
      <c r="B420" s="197" t="s">
        <v>39</v>
      </c>
      <c r="C420" s="196" t="s">
        <v>40</v>
      </c>
      <c r="D420" s="196">
        <v>3</v>
      </c>
      <c r="E420" s="195">
        <v>9427221065</v>
      </c>
      <c r="F420" s="239">
        <v>1500</v>
      </c>
      <c r="G420" s="193">
        <v>46054</v>
      </c>
    </row>
    <row r="421" spans="1:7" ht="23.25">
      <c r="A421" s="192">
        <v>11</v>
      </c>
      <c r="B421" s="191" t="s">
        <v>42</v>
      </c>
      <c r="C421" s="190" t="s">
        <v>43</v>
      </c>
      <c r="D421" s="189">
        <v>3</v>
      </c>
      <c r="E421" s="188">
        <v>8962744280</v>
      </c>
      <c r="F421" s="187">
        <v>1500</v>
      </c>
      <c r="G421" s="226">
        <v>46054</v>
      </c>
    </row>
    <row r="422" spans="1:7" ht="23.25">
      <c r="A422" s="192">
        <v>12</v>
      </c>
      <c r="B422" s="191" t="s">
        <v>44</v>
      </c>
      <c r="C422" s="190" t="s">
        <v>45</v>
      </c>
      <c r="D422" s="189">
        <v>3</v>
      </c>
      <c r="E422" s="188">
        <v>9749543529</v>
      </c>
      <c r="F422" s="187">
        <v>1500</v>
      </c>
      <c r="G422" s="226">
        <v>46054</v>
      </c>
    </row>
    <row r="423" spans="1:7" ht="23.25">
      <c r="A423" s="192">
        <v>13</v>
      </c>
      <c r="B423" s="191" t="s">
        <v>46</v>
      </c>
      <c r="C423" s="190" t="s">
        <v>47</v>
      </c>
      <c r="D423" s="189">
        <v>2</v>
      </c>
      <c r="E423" s="188">
        <v>7001420328</v>
      </c>
      <c r="F423" s="187">
        <v>1200</v>
      </c>
      <c r="G423" s="226">
        <v>46054</v>
      </c>
    </row>
    <row r="424" spans="1:7" ht="23.25">
      <c r="A424" s="192">
        <v>15</v>
      </c>
      <c r="B424" s="191" t="s">
        <v>49</v>
      </c>
      <c r="C424" s="190" t="s">
        <v>50</v>
      </c>
      <c r="D424" s="189">
        <v>3</v>
      </c>
      <c r="E424" s="188">
        <v>8918008545</v>
      </c>
      <c r="F424" s="198">
        <v>1500</v>
      </c>
      <c r="G424" s="186">
        <v>46054</v>
      </c>
    </row>
    <row r="425" spans="1:7" ht="23.25">
      <c r="A425" s="192">
        <v>16</v>
      </c>
      <c r="B425" s="191" t="s">
        <v>51</v>
      </c>
      <c r="C425" s="190" t="s">
        <v>52</v>
      </c>
      <c r="D425" s="189">
        <v>3</v>
      </c>
      <c r="E425" s="188">
        <v>8967856644</v>
      </c>
      <c r="F425" s="198">
        <v>1500</v>
      </c>
      <c r="G425" s="226">
        <v>46054</v>
      </c>
    </row>
    <row r="426" spans="1:7" ht="23.25">
      <c r="A426" s="192">
        <v>17</v>
      </c>
      <c r="B426" s="191" t="s">
        <v>53</v>
      </c>
      <c r="C426" s="190" t="s">
        <v>54</v>
      </c>
      <c r="D426" s="189">
        <v>2</v>
      </c>
      <c r="E426" s="188">
        <v>8436193278</v>
      </c>
      <c r="F426" s="198">
        <v>1200</v>
      </c>
      <c r="G426" s="226">
        <v>46054</v>
      </c>
    </row>
    <row r="427" spans="1:7" ht="23.25">
      <c r="A427" s="192">
        <v>20</v>
      </c>
      <c r="B427" s="191" t="s">
        <v>57</v>
      </c>
      <c r="C427" s="190" t="s">
        <v>58</v>
      </c>
      <c r="D427" s="189">
        <v>3</v>
      </c>
      <c r="E427" s="188">
        <v>9474039781</v>
      </c>
      <c r="F427" s="227">
        <v>1500</v>
      </c>
      <c r="G427" s="226">
        <v>46054</v>
      </c>
    </row>
    <row r="428" spans="1:7" ht="23.25">
      <c r="A428" s="192">
        <v>21</v>
      </c>
      <c r="B428" s="191" t="s">
        <v>59</v>
      </c>
      <c r="C428" s="190" t="s">
        <v>60</v>
      </c>
      <c r="D428" s="189">
        <v>2</v>
      </c>
      <c r="E428" s="188">
        <v>8789747535</v>
      </c>
      <c r="F428" s="198">
        <v>1200</v>
      </c>
      <c r="G428" s="186">
        <v>46054</v>
      </c>
    </row>
    <row r="429" spans="1:7" ht="23.25">
      <c r="A429" s="188">
        <v>22</v>
      </c>
      <c r="B429" s="197" t="s">
        <v>61</v>
      </c>
      <c r="C429" s="196" t="s">
        <v>62</v>
      </c>
      <c r="D429" s="196">
        <v>2</v>
      </c>
      <c r="E429" s="195">
        <v>9732006006</v>
      </c>
      <c r="F429" s="206">
        <v>1200</v>
      </c>
      <c r="G429" s="193">
        <v>46054</v>
      </c>
    </row>
    <row r="430" spans="1:7" ht="23.25">
      <c r="A430" s="192">
        <v>23</v>
      </c>
      <c r="B430" s="191" t="s">
        <v>63</v>
      </c>
      <c r="C430" s="190" t="s">
        <v>64</v>
      </c>
      <c r="D430" s="189">
        <v>3</v>
      </c>
      <c r="E430" s="188">
        <v>8927777001</v>
      </c>
      <c r="F430" s="227">
        <v>1500</v>
      </c>
      <c r="G430" s="186">
        <v>46054</v>
      </c>
    </row>
    <row r="431" spans="1:7" ht="46.5">
      <c r="A431" s="192">
        <v>24</v>
      </c>
      <c r="B431" s="191" t="s">
        <v>65</v>
      </c>
      <c r="C431" s="190" t="s">
        <v>66</v>
      </c>
      <c r="D431" s="189">
        <v>3</v>
      </c>
      <c r="E431" s="207" t="s">
        <v>241</v>
      </c>
      <c r="F431" s="227">
        <v>1500</v>
      </c>
      <c r="G431" s="226">
        <v>46054</v>
      </c>
    </row>
    <row r="432" spans="1:7" ht="23.25">
      <c r="A432" s="192">
        <v>25</v>
      </c>
      <c r="B432" s="191" t="s">
        <v>67</v>
      </c>
      <c r="C432" s="190" t="s">
        <v>68</v>
      </c>
      <c r="D432" s="189">
        <v>2</v>
      </c>
      <c r="E432" s="188">
        <v>9775033283</v>
      </c>
      <c r="F432" s="227">
        <v>1200</v>
      </c>
      <c r="G432" s="186">
        <v>46054</v>
      </c>
    </row>
    <row r="433" spans="1:7" ht="23.25">
      <c r="A433" s="192">
        <v>27</v>
      </c>
      <c r="B433" s="191" t="s">
        <v>70</v>
      </c>
      <c r="C433" s="190" t="s">
        <v>71</v>
      </c>
      <c r="D433" s="189">
        <v>3</v>
      </c>
      <c r="E433" s="188">
        <v>9007993440</v>
      </c>
      <c r="F433" s="227">
        <v>1500</v>
      </c>
      <c r="G433" s="186">
        <v>46054</v>
      </c>
    </row>
    <row r="434" spans="1:7" ht="23.25">
      <c r="A434" s="192">
        <v>28</v>
      </c>
      <c r="B434" s="191" t="s">
        <v>72</v>
      </c>
      <c r="C434" s="190" t="s">
        <v>73</v>
      </c>
      <c r="D434" s="189">
        <v>3</v>
      </c>
      <c r="E434" s="188">
        <v>9851121248</v>
      </c>
      <c r="F434" s="227">
        <v>1500</v>
      </c>
      <c r="G434" s="226">
        <v>46054</v>
      </c>
    </row>
    <row r="435" spans="1:7" ht="23.25">
      <c r="A435" s="192">
        <v>29</v>
      </c>
      <c r="B435" s="191" t="s">
        <v>74</v>
      </c>
      <c r="C435" s="190" t="s">
        <v>75</v>
      </c>
      <c r="D435" s="189">
        <v>2</v>
      </c>
      <c r="E435" s="188">
        <v>7908578532</v>
      </c>
      <c r="F435" s="227">
        <v>1200</v>
      </c>
      <c r="G435" s="226">
        <v>46054</v>
      </c>
    </row>
    <row r="436" spans="1:7" ht="23.25">
      <c r="A436" s="192">
        <v>30</v>
      </c>
      <c r="B436" s="191" t="s">
        <v>76</v>
      </c>
      <c r="C436" s="190" t="s">
        <v>77</v>
      </c>
      <c r="D436" s="189">
        <v>2</v>
      </c>
      <c r="E436" s="188">
        <v>8637853169</v>
      </c>
      <c r="F436" s="227">
        <v>1200</v>
      </c>
      <c r="G436" s="226">
        <v>46054</v>
      </c>
    </row>
    <row r="437" spans="1:7" ht="23.25">
      <c r="A437" s="192">
        <v>31</v>
      </c>
      <c r="B437" s="191" t="s">
        <v>78</v>
      </c>
      <c r="C437" s="190" t="s">
        <v>79</v>
      </c>
      <c r="D437" s="189">
        <v>3</v>
      </c>
      <c r="E437" s="188">
        <v>9434101485</v>
      </c>
      <c r="F437" s="198">
        <v>1500</v>
      </c>
      <c r="G437" s="186">
        <v>46054</v>
      </c>
    </row>
    <row r="438" spans="1:7" ht="23.25">
      <c r="A438" s="225">
        <v>32</v>
      </c>
      <c r="B438" s="224" t="s">
        <v>137</v>
      </c>
      <c r="C438" s="223" t="s">
        <v>80</v>
      </c>
      <c r="D438" s="223">
        <v>3</v>
      </c>
      <c r="E438" s="222">
        <v>8820411025</v>
      </c>
      <c r="F438" s="206">
        <v>1500</v>
      </c>
      <c r="G438" s="193">
        <v>46054</v>
      </c>
    </row>
    <row r="439" spans="1:7" ht="23.25">
      <c r="A439" s="192">
        <v>33</v>
      </c>
      <c r="B439" s="191" t="s">
        <v>81</v>
      </c>
      <c r="C439" s="190" t="s">
        <v>82</v>
      </c>
      <c r="D439" s="189">
        <v>2</v>
      </c>
      <c r="E439" s="188">
        <v>9749449845</v>
      </c>
      <c r="F439" s="198">
        <v>1200</v>
      </c>
      <c r="G439" s="186">
        <v>46054</v>
      </c>
    </row>
    <row r="440" spans="1:7" ht="23.25">
      <c r="A440" s="192">
        <v>34</v>
      </c>
      <c r="B440" s="191" t="s">
        <v>83</v>
      </c>
      <c r="C440" s="190" t="s">
        <v>84</v>
      </c>
      <c r="D440" s="189">
        <v>2</v>
      </c>
      <c r="E440" s="188">
        <v>9735135784</v>
      </c>
      <c r="F440" s="198">
        <v>1200</v>
      </c>
      <c r="G440" s="186">
        <v>46054</v>
      </c>
    </row>
    <row r="441" spans="1:7" ht="23.25">
      <c r="A441" s="192">
        <v>35</v>
      </c>
      <c r="B441" s="191" t="s">
        <v>85</v>
      </c>
      <c r="C441" s="190" t="s">
        <v>244</v>
      </c>
      <c r="D441" s="189" t="s">
        <v>25</v>
      </c>
      <c r="E441" s="188">
        <v>9474567580</v>
      </c>
      <c r="F441" s="238">
        <v>2700</v>
      </c>
      <c r="G441" s="186">
        <v>46054</v>
      </c>
    </row>
    <row r="442" spans="1:7" ht="23.25">
      <c r="A442" s="192">
        <v>36</v>
      </c>
      <c r="B442" s="191" t="s">
        <v>87</v>
      </c>
      <c r="C442" s="190" t="s">
        <v>88</v>
      </c>
      <c r="D442" s="189">
        <v>3</v>
      </c>
      <c r="E442" s="188">
        <v>9836087162</v>
      </c>
      <c r="F442" s="198">
        <v>1500</v>
      </c>
      <c r="G442" s="186">
        <v>46054</v>
      </c>
    </row>
    <row r="443" spans="1:7" ht="23.25">
      <c r="A443" s="192">
        <v>37</v>
      </c>
      <c r="B443" s="191" t="s">
        <v>89</v>
      </c>
      <c r="C443" s="190" t="s">
        <v>90</v>
      </c>
      <c r="D443" s="189">
        <v>2</v>
      </c>
      <c r="E443" s="188">
        <v>8101850717</v>
      </c>
      <c r="F443" s="198">
        <v>1200</v>
      </c>
      <c r="G443" s="226">
        <v>46054</v>
      </c>
    </row>
    <row r="444" spans="1:7" ht="23.25">
      <c r="A444" s="192">
        <v>38</v>
      </c>
      <c r="B444" s="191" t="s">
        <v>91</v>
      </c>
      <c r="C444" s="190" t="s">
        <v>92</v>
      </c>
      <c r="D444" s="189">
        <v>3</v>
      </c>
      <c r="E444" s="188">
        <v>8318151358</v>
      </c>
      <c r="F444" s="198">
        <v>1500</v>
      </c>
      <c r="G444" s="226">
        <v>46054</v>
      </c>
    </row>
    <row r="445" spans="1:7" ht="23.25">
      <c r="A445" s="192">
        <v>39</v>
      </c>
      <c r="B445" s="191" t="s">
        <v>93</v>
      </c>
      <c r="C445" s="190" t="s">
        <v>94</v>
      </c>
      <c r="D445" s="189">
        <v>3</v>
      </c>
      <c r="E445" s="188">
        <v>6296936814</v>
      </c>
      <c r="F445" s="198">
        <v>1500</v>
      </c>
      <c r="G445" s="226">
        <v>46054</v>
      </c>
    </row>
    <row r="446" spans="1:7" ht="23.25">
      <c r="A446" s="192">
        <v>40</v>
      </c>
      <c r="B446" s="191" t="s">
        <v>95</v>
      </c>
      <c r="C446" s="190" t="s">
        <v>96</v>
      </c>
      <c r="D446" s="189">
        <v>2</v>
      </c>
      <c r="E446" s="188">
        <v>9531571901</v>
      </c>
      <c r="F446" s="198">
        <v>1200</v>
      </c>
      <c r="G446" s="186">
        <v>46054</v>
      </c>
    </row>
    <row r="447" spans="1:7" ht="23.25">
      <c r="A447" s="217">
        <v>42</v>
      </c>
      <c r="B447" s="216" t="s">
        <v>98</v>
      </c>
      <c r="C447" s="215" t="s">
        <v>99</v>
      </c>
      <c r="D447" s="214">
        <v>3</v>
      </c>
      <c r="E447" s="213">
        <v>7680914260</v>
      </c>
      <c r="F447" s="218">
        <v>1500</v>
      </c>
      <c r="G447" s="211">
        <v>46054</v>
      </c>
    </row>
    <row r="448" spans="1:7" ht="23.25">
      <c r="A448" s="203">
        <v>43</v>
      </c>
      <c r="B448" s="236" t="s">
        <v>134</v>
      </c>
      <c r="C448" s="235" t="s">
        <v>100</v>
      </c>
      <c r="D448" s="234">
        <v>3</v>
      </c>
      <c r="E448" s="233">
        <v>7044376634</v>
      </c>
      <c r="F448" s="218">
        <v>1500</v>
      </c>
      <c r="G448" s="211">
        <v>46054</v>
      </c>
    </row>
    <row r="449" spans="1:7" ht="23.25">
      <c r="A449" s="237">
        <v>44</v>
      </c>
      <c r="B449" s="236" t="s">
        <v>135</v>
      </c>
      <c r="C449" s="235" t="s">
        <v>101</v>
      </c>
      <c r="D449" s="234">
        <v>2</v>
      </c>
      <c r="E449" s="233">
        <v>7908550094</v>
      </c>
      <c r="F449" s="212">
        <v>1200</v>
      </c>
      <c r="G449" s="211">
        <v>46054</v>
      </c>
    </row>
    <row r="450" spans="1:7" ht="23.25">
      <c r="A450" s="217">
        <v>46</v>
      </c>
      <c r="B450" s="216" t="s">
        <v>103</v>
      </c>
      <c r="C450" s="215" t="s">
        <v>104</v>
      </c>
      <c r="D450" s="214">
        <v>3</v>
      </c>
      <c r="E450" s="213">
        <v>7908182143</v>
      </c>
      <c r="F450" s="212">
        <v>1500</v>
      </c>
      <c r="G450" s="211">
        <v>46054</v>
      </c>
    </row>
    <row r="451" spans="1:7" ht="23.25">
      <c r="A451" s="232">
        <v>48</v>
      </c>
      <c r="B451" s="231" t="s">
        <v>136</v>
      </c>
      <c r="C451" s="230" t="s">
        <v>107</v>
      </c>
      <c r="D451" s="230"/>
      <c r="E451" s="229">
        <v>9831313288</v>
      </c>
      <c r="F451" s="198">
        <v>1200</v>
      </c>
      <c r="G451" s="186">
        <v>46054</v>
      </c>
    </row>
    <row r="452" spans="1:7" ht="23.25">
      <c r="A452" s="192">
        <v>50</v>
      </c>
      <c r="B452" s="191" t="s">
        <v>109</v>
      </c>
      <c r="C452" s="190" t="s">
        <v>110</v>
      </c>
      <c r="D452" s="189">
        <v>3</v>
      </c>
      <c r="E452" s="188">
        <v>9681710268</v>
      </c>
      <c r="F452" s="198">
        <v>1500</v>
      </c>
      <c r="G452" s="186">
        <v>46054</v>
      </c>
    </row>
    <row r="453" spans="1:7" ht="23.25">
      <c r="A453" s="192">
        <v>51</v>
      </c>
      <c r="B453" s="191" t="s">
        <v>111</v>
      </c>
      <c r="C453" s="190" t="s">
        <v>112</v>
      </c>
      <c r="D453" s="189">
        <v>3</v>
      </c>
      <c r="E453" s="188">
        <v>9434216284</v>
      </c>
      <c r="F453" s="198">
        <v>1500</v>
      </c>
      <c r="G453" s="186">
        <v>46054</v>
      </c>
    </row>
    <row r="454" spans="1:7" ht="23.25">
      <c r="A454" s="192">
        <v>52</v>
      </c>
      <c r="B454" s="191" t="s">
        <v>113</v>
      </c>
      <c r="C454" s="190" t="s">
        <v>114</v>
      </c>
      <c r="D454" s="189">
        <v>2</v>
      </c>
      <c r="E454" s="188">
        <v>9458208175</v>
      </c>
      <c r="F454" s="198">
        <v>1200</v>
      </c>
      <c r="G454" s="186">
        <v>46054</v>
      </c>
    </row>
    <row r="455" spans="1:7" ht="23.25">
      <c r="A455" s="192">
        <v>58</v>
      </c>
      <c r="B455" s="191" t="s">
        <v>120</v>
      </c>
      <c r="C455" s="190" t="s">
        <v>121</v>
      </c>
      <c r="D455" s="189">
        <v>3</v>
      </c>
      <c r="E455" s="188">
        <v>9681429435</v>
      </c>
      <c r="F455" s="187">
        <v>1500</v>
      </c>
      <c r="G455" s="186">
        <v>46054</v>
      </c>
    </row>
    <row r="456" spans="1:7" ht="23.25">
      <c r="A456" s="192">
        <v>59</v>
      </c>
      <c r="B456" s="191" t="s">
        <v>122</v>
      </c>
      <c r="C456" s="190" t="s">
        <v>123</v>
      </c>
      <c r="D456" s="189">
        <v>3</v>
      </c>
      <c r="E456" s="188">
        <v>7908970236</v>
      </c>
      <c r="F456" s="187">
        <v>1500</v>
      </c>
      <c r="G456" s="186">
        <v>46054</v>
      </c>
    </row>
    <row r="457" spans="1:7" ht="23.25">
      <c r="A457" s="192">
        <v>60</v>
      </c>
      <c r="B457" s="191" t="s">
        <v>124</v>
      </c>
      <c r="C457" s="190" t="s">
        <v>125</v>
      </c>
      <c r="D457" s="189">
        <v>2</v>
      </c>
      <c r="E457" s="188">
        <v>9046420491</v>
      </c>
      <c r="F457" s="187">
        <v>1200</v>
      </c>
      <c r="G457" s="186">
        <v>46054</v>
      </c>
    </row>
    <row r="458" spans="1:7" ht="23.25">
      <c r="A458" s="192">
        <v>1</v>
      </c>
      <c r="B458" s="191" t="s">
        <v>26</v>
      </c>
      <c r="C458" s="190" t="s">
        <v>27</v>
      </c>
      <c r="D458" s="189">
        <v>3</v>
      </c>
      <c r="E458" s="188">
        <v>9609688683</v>
      </c>
      <c r="F458" s="198">
        <v>1500</v>
      </c>
      <c r="G458" s="186">
        <v>46082</v>
      </c>
    </row>
    <row r="459" spans="1:7" ht="23.25">
      <c r="A459" s="192">
        <v>2</v>
      </c>
      <c r="B459" s="191" t="s">
        <v>28</v>
      </c>
      <c r="C459" s="190" t="s">
        <v>29</v>
      </c>
      <c r="D459" s="189">
        <v>3</v>
      </c>
      <c r="E459" s="188">
        <v>7557076444</v>
      </c>
      <c r="F459" s="198">
        <v>1500</v>
      </c>
      <c r="G459" s="186">
        <v>46082</v>
      </c>
    </row>
    <row r="460" spans="1:7" ht="23.25">
      <c r="A460" s="188">
        <v>3</v>
      </c>
      <c r="B460" s="197" t="s">
        <v>30</v>
      </c>
      <c r="C460" s="196" t="s">
        <v>31</v>
      </c>
      <c r="D460" s="196">
        <v>2</v>
      </c>
      <c r="E460" s="195">
        <v>8001604274</v>
      </c>
      <c r="F460" s="187">
        <v>1200</v>
      </c>
      <c r="G460" s="186">
        <v>46082</v>
      </c>
    </row>
    <row r="461" spans="1:7" ht="23.25">
      <c r="A461" s="192">
        <v>5</v>
      </c>
      <c r="B461" s="191" t="s">
        <v>33</v>
      </c>
      <c r="C461" s="190" t="s">
        <v>34</v>
      </c>
      <c r="D461" s="189">
        <v>3</v>
      </c>
      <c r="E461" s="188">
        <v>9434115212</v>
      </c>
      <c r="F461" s="198">
        <v>1500</v>
      </c>
      <c r="G461" s="186">
        <v>46082</v>
      </c>
    </row>
    <row r="462" spans="1:7" ht="23.25">
      <c r="A462" s="192">
        <v>6</v>
      </c>
      <c r="B462" s="191" t="s">
        <v>35</v>
      </c>
      <c r="C462" s="190" t="s">
        <v>243</v>
      </c>
      <c r="D462" s="189" t="s">
        <v>24</v>
      </c>
      <c r="E462" s="188">
        <v>9474561244</v>
      </c>
      <c r="F462" s="198">
        <f>1500+1200</f>
        <v>2700</v>
      </c>
      <c r="G462" s="226">
        <v>46082</v>
      </c>
    </row>
    <row r="463" spans="1:7" ht="23.25">
      <c r="A463" s="192">
        <v>7</v>
      </c>
      <c r="B463" s="228" t="s">
        <v>1</v>
      </c>
      <c r="C463" s="190" t="s">
        <v>37</v>
      </c>
      <c r="D463" s="189">
        <v>2</v>
      </c>
      <c r="E463" s="207">
        <v>9475044158</v>
      </c>
      <c r="F463" s="206">
        <v>1200</v>
      </c>
      <c r="G463" s="205">
        <v>46082</v>
      </c>
    </row>
    <row r="464" spans="1:7" ht="23.25">
      <c r="A464" s="192">
        <v>8</v>
      </c>
      <c r="B464" s="191" t="s">
        <v>0</v>
      </c>
      <c r="C464" s="196" t="s">
        <v>242</v>
      </c>
      <c r="D464" s="189" t="s">
        <v>24</v>
      </c>
      <c r="E464" s="188">
        <v>9933111420</v>
      </c>
      <c r="F464" s="187">
        <f>1500+1200</f>
        <v>2700</v>
      </c>
      <c r="G464" s="186">
        <v>46082</v>
      </c>
    </row>
    <row r="465" spans="1:7" ht="23.25">
      <c r="A465" s="192">
        <v>9</v>
      </c>
      <c r="B465" s="191" t="s">
        <v>39</v>
      </c>
      <c r="C465" s="190" t="s">
        <v>40</v>
      </c>
      <c r="D465" s="189">
        <v>3</v>
      </c>
      <c r="E465" s="188">
        <v>9427221065</v>
      </c>
      <c r="F465" s="187">
        <v>1500</v>
      </c>
      <c r="G465" s="186">
        <v>46082</v>
      </c>
    </row>
    <row r="466" spans="1:7" ht="23.25">
      <c r="A466" s="192">
        <v>11</v>
      </c>
      <c r="B466" s="191" t="s">
        <v>42</v>
      </c>
      <c r="C466" s="190" t="s">
        <v>43</v>
      </c>
      <c r="D466" s="189">
        <v>3</v>
      </c>
      <c r="E466" s="188">
        <v>8962744280</v>
      </c>
      <c r="F466" s="187">
        <v>1500</v>
      </c>
      <c r="G466" s="186">
        <v>46082</v>
      </c>
    </row>
    <row r="467" spans="1:7" ht="23.25">
      <c r="A467" s="192">
        <v>12</v>
      </c>
      <c r="B467" s="191" t="s">
        <v>44</v>
      </c>
      <c r="C467" s="190" t="s">
        <v>45</v>
      </c>
      <c r="D467" s="189">
        <v>3</v>
      </c>
      <c r="E467" s="188">
        <v>9749543529</v>
      </c>
      <c r="F467" s="187">
        <v>1500</v>
      </c>
      <c r="G467" s="186">
        <v>46082</v>
      </c>
    </row>
    <row r="468" spans="1:7" ht="23.25">
      <c r="A468" s="188">
        <v>13</v>
      </c>
      <c r="B468" s="197" t="s">
        <v>46</v>
      </c>
      <c r="C468" s="196" t="s">
        <v>47</v>
      </c>
      <c r="D468" s="196">
        <v>2</v>
      </c>
      <c r="E468" s="195">
        <v>7001420328</v>
      </c>
      <c r="F468" s="194">
        <v>1200</v>
      </c>
      <c r="G468" s="193">
        <v>46082</v>
      </c>
    </row>
    <row r="469" spans="1:7" ht="23.25">
      <c r="A469" s="192">
        <v>15</v>
      </c>
      <c r="B469" s="191" t="s">
        <v>49</v>
      </c>
      <c r="C469" s="190" t="s">
        <v>50</v>
      </c>
      <c r="D469" s="189">
        <v>3</v>
      </c>
      <c r="E469" s="188">
        <v>8918008545</v>
      </c>
      <c r="F469" s="198">
        <v>1500</v>
      </c>
      <c r="G469" s="186">
        <v>46082</v>
      </c>
    </row>
    <row r="470" spans="1:7" ht="23.25">
      <c r="A470" s="192">
        <v>16</v>
      </c>
      <c r="B470" s="191" t="s">
        <v>51</v>
      </c>
      <c r="C470" s="190" t="s">
        <v>52</v>
      </c>
      <c r="D470" s="189">
        <v>3</v>
      </c>
      <c r="E470" s="188">
        <v>8967856644</v>
      </c>
      <c r="F470" s="198">
        <v>1500</v>
      </c>
      <c r="G470" s="186">
        <v>46082</v>
      </c>
    </row>
    <row r="471" spans="1:7" ht="23.25">
      <c r="A471" s="192">
        <v>17</v>
      </c>
      <c r="B471" s="191" t="s">
        <v>53</v>
      </c>
      <c r="C471" s="190" t="s">
        <v>54</v>
      </c>
      <c r="D471" s="189">
        <v>2</v>
      </c>
      <c r="E471" s="188">
        <v>8436193278</v>
      </c>
      <c r="F471" s="198">
        <v>1200</v>
      </c>
      <c r="G471" s="186">
        <v>46082</v>
      </c>
    </row>
    <row r="472" spans="1:7" ht="23.25">
      <c r="A472" s="192">
        <v>20</v>
      </c>
      <c r="B472" s="191" t="s">
        <v>57</v>
      </c>
      <c r="C472" s="190" t="s">
        <v>58</v>
      </c>
      <c r="D472" s="189">
        <v>3</v>
      </c>
      <c r="E472" s="188">
        <v>9474039781</v>
      </c>
      <c r="F472" s="198">
        <v>1500</v>
      </c>
      <c r="G472" s="186">
        <v>46082</v>
      </c>
    </row>
    <row r="473" spans="1:7" ht="23.25">
      <c r="A473" s="192">
        <v>21</v>
      </c>
      <c r="B473" s="191" t="s">
        <v>59</v>
      </c>
      <c r="C473" s="190" t="s">
        <v>60</v>
      </c>
      <c r="D473" s="189">
        <v>2</v>
      </c>
      <c r="E473" s="188">
        <v>8789747535</v>
      </c>
      <c r="F473" s="198">
        <v>1200</v>
      </c>
      <c r="G473" s="186">
        <v>46082</v>
      </c>
    </row>
    <row r="474" spans="1:7" ht="23.25">
      <c r="A474" s="192">
        <v>22</v>
      </c>
      <c r="B474" s="191" t="s">
        <v>61</v>
      </c>
      <c r="C474" s="190" t="s">
        <v>62</v>
      </c>
      <c r="D474" s="189">
        <v>2</v>
      </c>
      <c r="E474" s="188">
        <v>9732006006</v>
      </c>
      <c r="F474" s="198">
        <v>1200</v>
      </c>
      <c r="G474" s="186">
        <v>46082</v>
      </c>
    </row>
    <row r="475" spans="1:7" ht="23.25">
      <c r="A475" s="192">
        <v>23</v>
      </c>
      <c r="B475" s="191" t="s">
        <v>63</v>
      </c>
      <c r="C475" s="190" t="s">
        <v>64</v>
      </c>
      <c r="D475" s="189">
        <v>3</v>
      </c>
      <c r="E475" s="188">
        <v>8927777001</v>
      </c>
      <c r="F475" s="198">
        <v>1500</v>
      </c>
      <c r="G475" s="186">
        <v>46082</v>
      </c>
    </row>
    <row r="476" spans="1:7" ht="46.5">
      <c r="A476" s="192">
        <v>24</v>
      </c>
      <c r="B476" s="191" t="s">
        <v>65</v>
      </c>
      <c r="C476" s="190" t="s">
        <v>66</v>
      </c>
      <c r="D476" s="189">
        <v>3</v>
      </c>
      <c r="E476" s="207" t="s">
        <v>241</v>
      </c>
      <c r="F476" s="198">
        <v>1500</v>
      </c>
      <c r="G476" s="186">
        <v>46082</v>
      </c>
    </row>
    <row r="477" spans="1:7" ht="23.25">
      <c r="A477" s="188">
        <v>25</v>
      </c>
      <c r="B477" s="197" t="s">
        <v>67</v>
      </c>
      <c r="C477" s="196" t="s">
        <v>68</v>
      </c>
      <c r="D477" s="196">
        <v>2</v>
      </c>
      <c r="E477" s="195">
        <v>9775033283</v>
      </c>
      <c r="F477" s="204">
        <v>1200</v>
      </c>
      <c r="G477" s="193">
        <v>46082</v>
      </c>
    </row>
    <row r="478" spans="1:7" ht="23.25">
      <c r="A478" s="192">
        <v>27</v>
      </c>
      <c r="B478" s="191" t="s">
        <v>70</v>
      </c>
      <c r="C478" s="190" t="s">
        <v>71</v>
      </c>
      <c r="D478" s="189">
        <v>3</v>
      </c>
      <c r="E478" s="188">
        <v>9007993440</v>
      </c>
      <c r="F478" s="198">
        <v>1500</v>
      </c>
      <c r="G478" s="186">
        <v>46082</v>
      </c>
    </row>
    <row r="479" spans="1:7" ht="23.25">
      <c r="A479" s="192">
        <v>28</v>
      </c>
      <c r="B479" s="191" t="s">
        <v>72</v>
      </c>
      <c r="C479" s="190" t="s">
        <v>73</v>
      </c>
      <c r="D479" s="189">
        <v>3</v>
      </c>
      <c r="E479" s="188">
        <v>9851121248</v>
      </c>
      <c r="F479" s="198">
        <v>1500</v>
      </c>
      <c r="G479" s="186">
        <v>46082</v>
      </c>
    </row>
    <row r="480" spans="1:7" ht="23.25">
      <c r="A480" s="192">
        <v>29</v>
      </c>
      <c r="B480" s="191" t="s">
        <v>74</v>
      </c>
      <c r="C480" s="190" t="s">
        <v>75</v>
      </c>
      <c r="D480" s="189">
        <v>2</v>
      </c>
      <c r="E480" s="188">
        <v>7908578532</v>
      </c>
      <c r="F480" s="198">
        <v>1200</v>
      </c>
      <c r="G480" s="186">
        <v>46082</v>
      </c>
    </row>
    <row r="481" spans="1:7" ht="23.25">
      <c r="A481" s="192">
        <v>30</v>
      </c>
      <c r="B481" s="191" t="s">
        <v>76</v>
      </c>
      <c r="C481" s="190" t="s">
        <v>77</v>
      </c>
      <c r="D481" s="189">
        <v>2</v>
      </c>
      <c r="E481" s="188">
        <v>8637853169</v>
      </c>
      <c r="F481" s="198">
        <v>1200</v>
      </c>
      <c r="G481" s="186">
        <v>46082</v>
      </c>
    </row>
    <row r="482" spans="1:7" ht="23.25">
      <c r="A482" s="192">
        <v>31</v>
      </c>
      <c r="B482" s="191" t="s">
        <v>78</v>
      </c>
      <c r="C482" s="190" t="s">
        <v>79</v>
      </c>
      <c r="D482" s="189">
        <v>3</v>
      </c>
      <c r="E482" s="188">
        <v>9434101485</v>
      </c>
      <c r="F482" s="198">
        <v>1500</v>
      </c>
      <c r="G482" s="186">
        <v>46082</v>
      </c>
    </row>
    <row r="483" spans="1:7" ht="23.25">
      <c r="A483" s="203">
        <v>32</v>
      </c>
      <c r="B483" s="202" t="s">
        <v>137</v>
      </c>
      <c r="C483" s="201" t="s">
        <v>80</v>
      </c>
      <c r="D483" s="200">
        <v>3</v>
      </c>
      <c r="E483" s="199">
        <v>8820411025</v>
      </c>
      <c r="F483" s="198">
        <v>1500</v>
      </c>
      <c r="G483" s="186">
        <v>46082</v>
      </c>
    </row>
    <row r="484" spans="1:7" ht="23.25">
      <c r="A484" s="192">
        <v>33</v>
      </c>
      <c r="B484" s="191" t="s">
        <v>81</v>
      </c>
      <c r="C484" s="190" t="s">
        <v>82</v>
      </c>
      <c r="D484" s="189">
        <v>2</v>
      </c>
      <c r="E484" s="188">
        <v>9749449845</v>
      </c>
      <c r="F484" s="198">
        <v>1200</v>
      </c>
      <c r="G484" s="186">
        <v>46082</v>
      </c>
    </row>
    <row r="485" spans="1:7" ht="23.25">
      <c r="A485" s="192">
        <v>34</v>
      </c>
      <c r="B485" s="191" t="s">
        <v>83</v>
      </c>
      <c r="C485" s="190" t="s">
        <v>84</v>
      </c>
      <c r="D485" s="189">
        <v>2</v>
      </c>
      <c r="E485" s="188">
        <v>9735135784</v>
      </c>
      <c r="F485" s="198">
        <v>1200</v>
      </c>
      <c r="G485" s="186">
        <v>46082</v>
      </c>
    </row>
    <row r="486" spans="1:7" ht="23.25">
      <c r="A486" s="188">
        <v>35</v>
      </c>
      <c r="B486" s="197" t="s">
        <v>85</v>
      </c>
      <c r="C486" s="190" t="s">
        <v>244</v>
      </c>
      <c r="D486" s="196" t="s">
        <v>25</v>
      </c>
      <c r="E486" s="195">
        <v>9474567580</v>
      </c>
      <c r="F486" s="204">
        <v>2700</v>
      </c>
      <c r="G486" s="193">
        <v>46082</v>
      </c>
    </row>
    <row r="487" spans="1:7" ht="23.25">
      <c r="A487" s="192">
        <v>36</v>
      </c>
      <c r="B487" s="191" t="s">
        <v>87</v>
      </c>
      <c r="C487" s="190" t="s">
        <v>88</v>
      </c>
      <c r="D487" s="189">
        <v>3</v>
      </c>
      <c r="E487" s="188">
        <v>9836087162</v>
      </c>
      <c r="F487" s="198">
        <v>1500</v>
      </c>
      <c r="G487" s="186">
        <v>46082</v>
      </c>
    </row>
    <row r="488" spans="1:7" ht="23.25">
      <c r="A488" s="192">
        <v>37</v>
      </c>
      <c r="B488" s="191" t="s">
        <v>89</v>
      </c>
      <c r="C488" s="190" t="s">
        <v>90</v>
      </c>
      <c r="D488" s="189">
        <v>2</v>
      </c>
      <c r="E488" s="188">
        <v>8101850717</v>
      </c>
      <c r="F488" s="198">
        <v>1200</v>
      </c>
      <c r="G488" s="186">
        <v>46082</v>
      </c>
    </row>
    <row r="489" spans="1:7" ht="23.25">
      <c r="A489" s="192">
        <v>38</v>
      </c>
      <c r="B489" s="191" t="s">
        <v>91</v>
      </c>
      <c r="C489" s="190" t="s">
        <v>92</v>
      </c>
      <c r="D489" s="189">
        <v>3</v>
      </c>
      <c r="E489" s="188">
        <v>8318151358</v>
      </c>
      <c r="F489" s="198">
        <v>1500</v>
      </c>
      <c r="G489" s="186">
        <v>46082</v>
      </c>
    </row>
    <row r="490" spans="1:7" ht="23.25">
      <c r="A490" s="192">
        <v>39</v>
      </c>
      <c r="B490" s="191" t="s">
        <v>93</v>
      </c>
      <c r="C490" s="190" t="s">
        <v>94</v>
      </c>
      <c r="D490" s="189">
        <v>3</v>
      </c>
      <c r="E490" s="188">
        <v>6296936814</v>
      </c>
      <c r="F490" s="198">
        <v>1500</v>
      </c>
      <c r="G490" s="186">
        <v>46082</v>
      </c>
    </row>
    <row r="491" spans="1:7" ht="23.25">
      <c r="A491" s="192">
        <v>40</v>
      </c>
      <c r="B491" s="191" t="s">
        <v>95</v>
      </c>
      <c r="C491" s="190" t="s">
        <v>96</v>
      </c>
      <c r="D491" s="189">
        <v>2</v>
      </c>
      <c r="E491" s="188">
        <v>9531571901</v>
      </c>
      <c r="F491" s="227">
        <v>1200</v>
      </c>
      <c r="G491" s="186">
        <v>46082</v>
      </c>
    </row>
    <row r="492" spans="1:7" ht="23.25">
      <c r="A492" s="192">
        <v>42</v>
      </c>
      <c r="B492" s="191" t="s">
        <v>98</v>
      </c>
      <c r="C492" s="190" t="s">
        <v>99</v>
      </c>
      <c r="D492" s="189">
        <v>3</v>
      </c>
      <c r="E492" s="188">
        <v>7680914260</v>
      </c>
      <c r="F492" s="198">
        <v>1500</v>
      </c>
      <c r="G492" s="186">
        <v>46082</v>
      </c>
    </row>
    <row r="493" spans="1:7" ht="23.25">
      <c r="A493" s="203">
        <v>43</v>
      </c>
      <c r="B493" s="202" t="s">
        <v>134</v>
      </c>
      <c r="C493" s="201" t="s">
        <v>100</v>
      </c>
      <c r="D493" s="200">
        <v>3</v>
      </c>
      <c r="E493" s="199">
        <v>7044376634</v>
      </c>
      <c r="F493" s="198">
        <v>1500</v>
      </c>
      <c r="G493" s="186">
        <v>46082</v>
      </c>
    </row>
    <row r="494" spans="1:7" ht="23.25">
      <c r="A494" s="225">
        <v>44</v>
      </c>
      <c r="B494" s="224" t="s">
        <v>135</v>
      </c>
      <c r="C494" s="223" t="s">
        <v>101</v>
      </c>
      <c r="D494" s="223">
        <v>2</v>
      </c>
      <c r="E494" s="222">
        <v>7908550094</v>
      </c>
      <c r="F494" s="194">
        <v>1200</v>
      </c>
      <c r="G494" s="193">
        <v>46082</v>
      </c>
    </row>
    <row r="495" spans="1:7" ht="23.25">
      <c r="A495" s="192">
        <v>46</v>
      </c>
      <c r="B495" s="191" t="s">
        <v>103</v>
      </c>
      <c r="C495" s="190" t="s">
        <v>104</v>
      </c>
      <c r="D495" s="189">
        <v>3</v>
      </c>
      <c r="E495" s="188">
        <v>7908182143</v>
      </c>
      <c r="F495" s="187">
        <v>1500</v>
      </c>
      <c r="G495" s="186">
        <v>46082</v>
      </c>
    </row>
    <row r="496" spans="1:7" ht="23.25">
      <c r="A496" s="203">
        <v>48</v>
      </c>
      <c r="B496" s="202" t="s">
        <v>136</v>
      </c>
      <c r="C496" s="201" t="s">
        <v>107</v>
      </c>
      <c r="D496" s="200"/>
      <c r="E496" s="199">
        <v>9831313288</v>
      </c>
      <c r="F496" s="198">
        <v>1200</v>
      </c>
      <c r="G496" s="186">
        <v>46082</v>
      </c>
    </row>
    <row r="497" spans="1:7" ht="23.25">
      <c r="A497" s="192">
        <v>50</v>
      </c>
      <c r="B497" s="191" t="s">
        <v>109</v>
      </c>
      <c r="C497" s="190" t="s">
        <v>110</v>
      </c>
      <c r="D497" s="189">
        <v>3</v>
      </c>
      <c r="E497" s="188">
        <v>9681710268</v>
      </c>
      <c r="F497" s="198">
        <v>1500</v>
      </c>
      <c r="G497" s="186">
        <v>46082</v>
      </c>
    </row>
    <row r="498" spans="1:7" ht="23.25">
      <c r="A498" s="192">
        <v>51</v>
      </c>
      <c r="B498" s="191" t="s">
        <v>111</v>
      </c>
      <c r="C498" s="190" t="s">
        <v>112</v>
      </c>
      <c r="D498" s="189">
        <v>3</v>
      </c>
      <c r="E498" s="188">
        <v>9434216284</v>
      </c>
      <c r="F498" s="198">
        <v>1500</v>
      </c>
      <c r="G498" s="186">
        <v>46082</v>
      </c>
    </row>
    <row r="499" spans="1:7" ht="23.25">
      <c r="A499" s="192">
        <v>52</v>
      </c>
      <c r="B499" s="191" t="s">
        <v>113</v>
      </c>
      <c r="C499" s="190" t="s">
        <v>114</v>
      </c>
      <c r="D499" s="189">
        <v>2</v>
      </c>
      <c r="E499" s="188">
        <v>9458208175</v>
      </c>
      <c r="F499" s="198">
        <v>1200</v>
      </c>
      <c r="G499" s="186">
        <v>46082</v>
      </c>
    </row>
    <row r="500" spans="1:7" ht="23.25">
      <c r="A500" s="192">
        <v>58</v>
      </c>
      <c r="B500" s="191" t="s">
        <v>120</v>
      </c>
      <c r="C500" s="190" t="s">
        <v>121</v>
      </c>
      <c r="D500" s="189">
        <v>3</v>
      </c>
      <c r="E500" s="188">
        <v>9681429435</v>
      </c>
      <c r="F500" s="187">
        <v>1500</v>
      </c>
      <c r="G500" s="226">
        <v>46082</v>
      </c>
    </row>
    <row r="501" spans="1:7" ht="23.25">
      <c r="A501" s="192">
        <v>59</v>
      </c>
      <c r="B501" s="191" t="s">
        <v>122</v>
      </c>
      <c r="C501" s="190" t="s">
        <v>123</v>
      </c>
      <c r="D501" s="189">
        <v>3</v>
      </c>
      <c r="E501" s="188">
        <v>7908970236</v>
      </c>
      <c r="F501" s="187">
        <v>1500</v>
      </c>
      <c r="G501" s="226">
        <v>46082</v>
      </c>
    </row>
    <row r="502" spans="1:7" ht="23.25">
      <c r="A502" s="192">
        <v>60</v>
      </c>
      <c r="B502" s="191" t="s">
        <v>124</v>
      </c>
      <c r="C502" s="190" t="s">
        <v>125</v>
      </c>
      <c r="D502" s="189">
        <v>2</v>
      </c>
      <c r="E502" s="188">
        <v>9046420491</v>
      </c>
      <c r="F502" s="187">
        <v>1200</v>
      </c>
      <c r="G502" s="186">
        <v>46082</v>
      </c>
    </row>
    <row r="503" spans="1:7" ht="23.25">
      <c r="A503" s="188">
        <v>1</v>
      </c>
      <c r="B503" s="197" t="s">
        <v>26</v>
      </c>
      <c r="C503" s="196" t="s">
        <v>27</v>
      </c>
      <c r="D503" s="196">
        <v>3</v>
      </c>
      <c r="E503" s="195">
        <v>9609688683</v>
      </c>
      <c r="F503" s="204">
        <v>1500</v>
      </c>
      <c r="G503" s="193">
        <v>46113</v>
      </c>
    </row>
    <row r="504" spans="1:7" ht="23.25">
      <c r="A504" s="192">
        <v>2</v>
      </c>
      <c r="B504" s="191" t="s">
        <v>28</v>
      </c>
      <c r="C504" s="190" t="s">
        <v>29</v>
      </c>
      <c r="D504" s="189">
        <v>3</v>
      </c>
      <c r="E504" s="188">
        <v>7557076444</v>
      </c>
      <c r="F504" s="198">
        <v>1500</v>
      </c>
      <c r="G504" s="186">
        <v>46113</v>
      </c>
    </row>
    <row r="505" spans="1:7" ht="23.25">
      <c r="A505" s="192">
        <v>3</v>
      </c>
      <c r="B505" s="191" t="s">
        <v>30</v>
      </c>
      <c r="C505" s="190" t="s">
        <v>31</v>
      </c>
      <c r="D505" s="189">
        <v>2</v>
      </c>
      <c r="E505" s="188">
        <v>8001604274</v>
      </c>
      <c r="F505" s="187">
        <v>1200</v>
      </c>
      <c r="G505" s="186">
        <v>46113</v>
      </c>
    </row>
    <row r="506" spans="1:7" ht="23.25">
      <c r="A506" s="192">
        <v>5</v>
      </c>
      <c r="B506" s="191" t="s">
        <v>33</v>
      </c>
      <c r="C506" s="190" t="s">
        <v>34</v>
      </c>
      <c r="D506" s="189">
        <v>3</v>
      </c>
      <c r="E506" s="188">
        <v>9434115212</v>
      </c>
      <c r="F506" s="198">
        <v>1500</v>
      </c>
      <c r="G506" s="186">
        <v>46113</v>
      </c>
    </row>
    <row r="507" spans="1:7" ht="23.25">
      <c r="A507" s="192">
        <v>6</v>
      </c>
      <c r="B507" s="191" t="s">
        <v>35</v>
      </c>
      <c r="C507" s="190" t="s">
        <v>243</v>
      </c>
      <c r="D507" s="189" t="s">
        <v>24</v>
      </c>
      <c r="E507" s="188">
        <v>9474561244</v>
      </c>
      <c r="F507" s="198">
        <f>1500+1200</f>
        <v>2700</v>
      </c>
      <c r="G507" s="186">
        <v>46113</v>
      </c>
    </row>
    <row r="508" spans="1:7" ht="23.25">
      <c r="A508" s="192">
        <v>7</v>
      </c>
      <c r="B508" s="228" t="s">
        <v>1</v>
      </c>
      <c r="C508" s="190" t="s">
        <v>37</v>
      </c>
      <c r="D508" s="189">
        <v>2</v>
      </c>
      <c r="E508" s="207">
        <v>9475044158</v>
      </c>
      <c r="F508" s="198">
        <v>1200</v>
      </c>
      <c r="G508" s="186">
        <v>46113</v>
      </c>
    </row>
    <row r="509" spans="1:7" ht="23.25">
      <c r="A509" s="192">
        <v>8</v>
      </c>
      <c r="B509" s="191" t="s">
        <v>0</v>
      </c>
      <c r="C509" s="196" t="s">
        <v>242</v>
      </c>
      <c r="D509" s="189" t="s">
        <v>24</v>
      </c>
      <c r="E509" s="188">
        <v>9933111420</v>
      </c>
      <c r="F509" s="187">
        <f>1500+1200</f>
        <v>2700</v>
      </c>
      <c r="G509" s="186">
        <v>46113</v>
      </c>
    </row>
    <row r="510" spans="1:7" ht="23.25">
      <c r="A510" s="192">
        <v>9</v>
      </c>
      <c r="B510" s="191" t="s">
        <v>39</v>
      </c>
      <c r="C510" s="190" t="s">
        <v>40</v>
      </c>
      <c r="D510" s="189">
        <v>3</v>
      </c>
      <c r="E510" s="188">
        <v>9427221065</v>
      </c>
      <c r="F510" s="187">
        <v>1500</v>
      </c>
      <c r="G510" s="186">
        <v>46113</v>
      </c>
    </row>
    <row r="511" spans="1:7" ht="23.25">
      <c r="A511" s="192">
        <v>11</v>
      </c>
      <c r="B511" s="191" t="s">
        <v>42</v>
      </c>
      <c r="C511" s="190" t="s">
        <v>43</v>
      </c>
      <c r="D511" s="189">
        <v>3</v>
      </c>
      <c r="E511" s="188">
        <v>8962744280</v>
      </c>
      <c r="F511" s="187">
        <v>1500</v>
      </c>
      <c r="G511" s="186">
        <v>46113</v>
      </c>
    </row>
    <row r="512" spans="1:7" ht="23.25">
      <c r="A512" s="188">
        <v>12</v>
      </c>
      <c r="B512" s="197" t="s">
        <v>44</v>
      </c>
      <c r="C512" s="196" t="s">
        <v>45</v>
      </c>
      <c r="D512" s="196">
        <v>3</v>
      </c>
      <c r="E512" s="195">
        <v>9749543529</v>
      </c>
      <c r="F512" s="194">
        <v>1500</v>
      </c>
      <c r="G512" s="193">
        <v>46113</v>
      </c>
    </row>
    <row r="513" spans="1:7" ht="23.25">
      <c r="A513" s="192">
        <v>13</v>
      </c>
      <c r="B513" s="191" t="s">
        <v>46</v>
      </c>
      <c r="C513" s="190" t="s">
        <v>47</v>
      </c>
      <c r="D513" s="189">
        <v>2</v>
      </c>
      <c r="E513" s="188">
        <v>7001420328</v>
      </c>
      <c r="F513" s="187">
        <v>1200</v>
      </c>
      <c r="G513" s="186">
        <v>46113</v>
      </c>
    </row>
    <row r="514" spans="1:7" ht="23.25">
      <c r="A514" s="192">
        <v>15</v>
      </c>
      <c r="B514" s="191" t="s">
        <v>49</v>
      </c>
      <c r="C514" s="190" t="s">
        <v>50</v>
      </c>
      <c r="D514" s="189">
        <v>3</v>
      </c>
      <c r="E514" s="188">
        <v>8918008545</v>
      </c>
      <c r="F514" s="198">
        <v>1500</v>
      </c>
      <c r="G514" s="186">
        <v>46113</v>
      </c>
    </row>
    <row r="515" spans="1:7" ht="23.25">
      <c r="A515" s="192">
        <v>16</v>
      </c>
      <c r="B515" s="191" t="s">
        <v>51</v>
      </c>
      <c r="C515" s="190" t="s">
        <v>52</v>
      </c>
      <c r="D515" s="189">
        <v>3</v>
      </c>
      <c r="E515" s="188">
        <v>8967856644</v>
      </c>
      <c r="F515" s="198">
        <v>1500</v>
      </c>
      <c r="G515" s="186">
        <v>46113</v>
      </c>
    </row>
    <row r="516" spans="1:7" ht="23.25">
      <c r="A516" s="192">
        <v>17</v>
      </c>
      <c r="B516" s="191" t="s">
        <v>53</v>
      </c>
      <c r="C516" s="190" t="s">
        <v>54</v>
      </c>
      <c r="D516" s="189">
        <v>2</v>
      </c>
      <c r="E516" s="188">
        <v>8436193278</v>
      </c>
      <c r="F516" s="198">
        <v>1200</v>
      </c>
      <c r="G516" s="186">
        <v>46113</v>
      </c>
    </row>
    <row r="517" spans="1:7" ht="23.25">
      <c r="A517" s="192">
        <v>20</v>
      </c>
      <c r="B517" s="191" t="s">
        <v>57</v>
      </c>
      <c r="C517" s="190" t="s">
        <v>58</v>
      </c>
      <c r="D517" s="189">
        <v>3</v>
      </c>
      <c r="E517" s="188">
        <v>9474039781</v>
      </c>
      <c r="F517" s="198">
        <v>1500</v>
      </c>
      <c r="G517" s="186">
        <v>46113</v>
      </c>
    </row>
    <row r="518" spans="1:7" ht="23.25">
      <c r="A518" s="192">
        <v>21</v>
      </c>
      <c r="B518" s="191" t="s">
        <v>59</v>
      </c>
      <c r="C518" s="190" t="s">
        <v>60</v>
      </c>
      <c r="D518" s="189">
        <v>2</v>
      </c>
      <c r="E518" s="188">
        <v>8789747535</v>
      </c>
      <c r="F518" s="198">
        <v>1200</v>
      </c>
      <c r="G518" s="186">
        <v>46113</v>
      </c>
    </row>
    <row r="519" spans="1:7" ht="23.25">
      <c r="A519" s="192">
        <v>22</v>
      </c>
      <c r="B519" s="191" t="s">
        <v>61</v>
      </c>
      <c r="C519" s="190" t="s">
        <v>62</v>
      </c>
      <c r="D519" s="189">
        <v>2</v>
      </c>
      <c r="E519" s="188">
        <v>9732006006</v>
      </c>
      <c r="F519" s="198">
        <v>1200</v>
      </c>
      <c r="G519" s="186">
        <v>46113</v>
      </c>
    </row>
    <row r="520" spans="1:7" ht="23.25">
      <c r="A520" s="192">
        <v>23</v>
      </c>
      <c r="B520" s="191" t="s">
        <v>63</v>
      </c>
      <c r="C520" s="190" t="s">
        <v>64</v>
      </c>
      <c r="D520" s="189">
        <v>3</v>
      </c>
      <c r="E520" s="188">
        <v>8927777001</v>
      </c>
      <c r="F520" s="198">
        <v>1500</v>
      </c>
      <c r="G520" s="186">
        <v>46113</v>
      </c>
    </row>
    <row r="521" spans="1:7" ht="46.5">
      <c r="A521" s="217">
        <v>24</v>
      </c>
      <c r="B521" s="216" t="s">
        <v>65</v>
      </c>
      <c r="C521" s="215" t="s">
        <v>66</v>
      </c>
      <c r="D521" s="214">
        <v>3</v>
      </c>
      <c r="E521" s="219" t="s">
        <v>241</v>
      </c>
      <c r="F521" s="198">
        <v>1500</v>
      </c>
      <c r="G521" s="226">
        <v>46113</v>
      </c>
    </row>
    <row r="522" spans="1:7" ht="23.25">
      <c r="A522" s="192">
        <v>25</v>
      </c>
      <c r="B522" s="216" t="s">
        <v>67</v>
      </c>
      <c r="C522" s="215" t="s">
        <v>68</v>
      </c>
      <c r="D522" s="214">
        <v>2</v>
      </c>
      <c r="E522" s="213">
        <v>9775033283</v>
      </c>
      <c r="F522" s="198">
        <v>1200</v>
      </c>
      <c r="G522" s="211">
        <v>46113</v>
      </c>
    </row>
    <row r="523" spans="1:7" ht="23.25">
      <c r="A523" s="217">
        <v>27</v>
      </c>
      <c r="B523" s="216" t="s">
        <v>70</v>
      </c>
      <c r="C523" s="215" t="s">
        <v>71</v>
      </c>
      <c r="D523" s="214">
        <v>3</v>
      </c>
      <c r="E523" s="213">
        <v>9007993440</v>
      </c>
      <c r="F523" s="198">
        <v>1500</v>
      </c>
      <c r="G523" s="226">
        <v>46113</v>
      </c>
    </row>
    <row r="524" spans="1:7" ht="23.25">
      <c r="A524" s="217">
        <v>28</v>
      </c>
      <c r="B524" s="216" t="s">
        <v>72</v>
      </c>
      <c r="C524" s="215" t="s">
        <v>73</v>
      </c>
      <c r="D524" s="214">
        <v>3</v>
      </c>
      <c r="E524" s="213">
        <v>9851121248</v>
      </c>
      <c r="F524" s="198">
        <v>1500</v>
      </c>
      <c r="G524" s="211">
        <v>46113</v>
      </c>
    </row>
    <row r="525" spans="1:7" ht="23.25">
      <c r="A525" s="208">
        <v>29</v>
      </c>
      <c r="B525" s="210" t="s">
        <v>74</v>
      </c>
      <c r="C525" s="209" t="s">
        <v>75</v>
      </c>
      <c r="D525" s="209">
        <v>2</v>
      </c>
      <c r="E525" s="208">
        <v>7908578532</v>
      </c>
      <c r="F525" s="198">
        <v>1200</v>
      </c>
      <c r="G525" s="186">
        <v>46113</v>
      </c>
    </row>
    <row r="526" spans="1:7" ht="23.25">
      <c r="A526" s="192">
        <v>30</v>
      </c>
      <c r="B526" s="191" t="s">
        <v>76</v>
      </c>
      <c r="C526" s="190" t="s">
        <v>77</v>
      </c>
      <c r="D526" s="189">
        <v>2</v>
      </c>
      <c r="E526" s="188">
        <v>8637853169</v>
      </c>
      <c r="F526" s="198">
        <v>1200</v>
      </c>
      <c r="G526" s="186">
        <v>46113</v>
      </c>
    </row>
    <row r="527" spans="1:7" ht="23.25">
      <c r="A527" s="192">
        <v>31</v>
      </c>
      <c r="B527" s="191" t="s">
        <v>78</v>
      </c>
      <c r="C527" s="190" t="s">
        <v>79</v>
      </c>
      <c r="D527" s="189">
        <v>3</v>
      </c>
      <c r="E527" s="188">
        <v>9434101485</v>
      </c>
      <c r="F527" s="198">
        <v>1500</v>
      </c>
      <c r="G527" s="186">
        <v>46113</v>
      </c>
    </row>
    <row r="528" spans="1:7" ht="23.25">
      <c r="A528" s="203">
        <v>32</v>
      </c>
      <c r="B528" s="202" t="s">
        <v>137</v>
      </c>
      <c r="C528" s="201" t="s">
        <v>80</v>
      </c>
      <c r="D528" s="200">
        <v>3</v>
      </c>
      <c r="E528" s="199">
        <v>8820411025</v>
      </c>
      <c r="F528" s="198">
        <v>1500</v>
      </c>
      <c r="G528" s="186">
        <v>46113</v>
      </c>
    </row>
    <row r="529" spans="1:7" ht="23.25">
      <c r="A529" s="192">
        <v>33</v>
      </c>
      <c r="B529" s="191" t="s">
        <v>81</v>
      </c>
      <c r="C529" s="190" t="s">
        <v>82</v>
      </c>
      <c r="D529" s="189">
        <v>2</v>
      </c>
      <c r="E529" s="188">
        <v>9749449845</v>
      </c>
      <c r="F529" s="198">
        <v>1200</v>
      </c>
      <c r="G529" s="186">
        <v>46113</v>
      </c>
    </row>
    <row r="530" spans="1:7" ht="23.25">
      <c r="A530" s="192">
        <v>34</v>
      </c>
      <c r="B530" s="191" t="s">
        <v>83</v>
      </c>
      <c r="C530" s="190" t="s">
        <v>84</v>
      </c>
      <c r="D530" s="189">
        <v>2</v>
      </c>
      <c r="E530" s="188">
        <v>9735135784</v>
      </c>
      <c r="F530" s="198">
        <v>1200</v>
      </c>
      <c r="G530" s="186">
        <v>46113</v>
      </c>
    </row>
    <row r="531" spans="1:7" ht="23.25">
      <c r="A531" s="192">
        <v>35</v>
      </c>
      <c r="B531" s="191" t="s">
        <v>85</v>
      </c>
      <c r="C531" s="190" t="s">
        <v>244</v>
      </c>
      <c r="D531" s="189" t="s">
        <v>25</v>
      </c>
      <c r="E531" s="188">
        <v>9474567580</v>
      </c>
      <c r="F531" s="198">
        <v>2700</v>
      </c>
      <c r="G531" s="186">
        <v>46113</v>
      </c>
    </row>
    <row r="532" spans="1:7" ht="23.25">
      <c r="A532" s="192">
        <v>36</v>
      </c>
      <c r="B532" s="191" t="s">
        <v>87</v>
      </c>
      <c r="C532" s="190" t="s">
        <v>88</v>
      </c>
      <c r="D532" s="189">
        <v>3</v>
      </c>
      <c r="E532" s="188">
        <v>9836087162</v>
      </c>
      <c r="F532" s="198">
        <v>1500</v>
      </c>
      <c r="G532" s="186">
        <v>46113</v>
      </c>
    </row>
    <row r="533" spans="1:7" ht="23.25">
      <c r="A533" s="192">
        <v>37</v>
      </c>
      <c r="B533" s="191" t="s">
        <v>89</v>
      </c>
      <c r="C533" s="190" t="s">
        <v>90</v>
      </c>
      <c r="D533" s="189">
        <v>2</v>
      </c>
      <c r="E533" s="188">
        <v>8101850717</v>
      </c>
      <c r="F533" s="198">
        <v>1200</v>
      </c>
      <c r="G533" s="186">
        <v>46113</v>
      </c>
    </row>
    <row r="534" spans="1:7" ht="23.25">
      <c r="A534" s="188">
        <v>38</v>
      </c>
      <c r="B534" s="197" t="s">
        <v>91</v>
      </c>
      <c r="C534" s="196" t="s">
        <v>92</v>
      </c>
      <c r="D534" s="196">
        <v>3</v>
      </c>
      <c r="E534" s="195">
        <v>8318151358</v>
      </c>
      <c r="F534" s="198">
        <v>1500</v>
      </c>
      <c r="G534" s="186">
        <v>46113</v>
      </c>
    </row>
    <row r="535" spans="1:7" ht="23.25">
      <c r="A535" s="192">
        <v>39</v>
      </c>
      <c r="B535" s="191" t="s">
        <v>93</v>
      </c>
      <c r="C535" s="190" t="s">
        <v>94</v>
      </c>
      <c r="D535" s="189">
        <v>3</v>
      </c>
      <c r="E535" s="188">
        <v>6296936814</v>
      </c>
      <c r="F535" s="198">
        <v>1500</v>
      </c>
      <c r="G535" s="186">
        <v>46113</v>
      </c>
    </row>
    <row r="536" spans="1:7" ht="23.25">
      <c r="A536" s="192">
        <v>40</v>
      </c>
      <c r="B536" s="191" t="s">
        <v>95</v>
      </c>
      <c r="C536" s="190" t="s">
        <v>96</v>
      </c>
      <c r="D536" s="189">
        <v>2</v>
      </c>
      <c r="E536" s="188">
        <v>9531571901</v>
      </c>
      <c r="F536" s="198">
        <v>1200</v>
      </c>
      <c r="G536" s="186">
        <v>46113</v>
      </c>
    </row>
    <row r="537" spans="1:7" ht="23.25">
      <c r="A537" s="192">
        <v>42</v>
      </c>
      <c r="B537" s="191" t="s">
        <v>98</v>
      </c>
      <c r="C537" s="190" t="s">
        <v>99</v>
      </c>
      <c r="D537" s="189">
        <v>3</v>
      </c>
      <c r="E537" s="188">
        <v>7680914260</v>
      </c>
      <c r="F537" s="206">
        <v>1500</v>
      </c>
      <c r="G537" s="205">
        <v>46113</v>
      </c>
    </row>
    <row r="538" spans="1:7" ht="23.25">
      <c r="A538" s="203">
        <v>43</v>
      </c>
      <c r="B538" s="202" t="s">
        <v>134</v>
      </c>
      <c r="C538" s="201" t="s">
        <v>100</v>
      </c>
      <c r="D538" s="200">
        <v>3</v>
      </c>
      <c r="E538" s="199">
        <v>7044376634</v>
      </c>
      <c r="F538" s="198">
        <v>1500</v>
      </c>
      <c r="G538" s="186">
        <v>46113</v>
      </c>
    </row>
    <row r="539" spans="1:7" ht="23.25">
      <c r="A539" s="203">
        <v>44</v>
      </c>
      <c r="B539" s="202" t="s">
        <v>135</v>
      </c>
      <c r="C539" s="201" t="s">
        <v>101</v>
      </c>
      <c r="D539" s="200">
        <v>2</v>
      </c>
      <c r="E539" s="199">
        <v>7908550094</v>
      </c>
      <c r="F539" s="187">
        <v>1200</v>
      </c>
      <c r="G539" s="186">
        <v>46113</v>
      </c>
    </row>
    <row r="540" spans="1:7" ht="23.25">
      <c r="A540" s="192">
        <v>46</v>
      </c>
      <c r="B540" s="191" t="s">
        <v>103</v>
      </c>
      <c r="C540" s="190" t="s">
        <v>104</v>
      </c>
      <c r="D540" s="189">
        <v>3</v>
      </c>
      <c r="E540" s="188">
        <v>7908182143</v>
      </c>
      <c r="F540" s="187">
        <v>1500</v>
      </c>
      <c r="G540" s="186">
        <v>46113</v>
      </c>
    </row>
    <row r="541" spans="1:7" ht="23.25">
      <c r="A541" s="203">
        <v>48</v>
      </c>
      <c r="B541" s="202" t="s">
        <v>136</v>
      </c>
      <c r="C541" s="201" t="s">
        <v>107</v>
      </c>
      <c r="D541" s="200"/>
      <c r="E541" s="199">
        <v>9831313288</v>
      </c>
      <c r="F541" s="198">
        <v>1200</v>
      </c>
      <c r="G541" s="186">
        <v>46113</v>
      </c>
    </row>
    <row r="542" spans="1:7" ht="23.25">
      <c r="A542" s="188">
        <v>50</v>
      </c>
      <c r="B542" s="197" t="s">
        <v>109</v>
      </c>
      <c r="C542" s="196" t="s">
        <v>110</v>
      </c>
      <c r="D542" s="196">
        <v>3</v>
      </c>
      <c r="E542" s="195">
        <v>9681710268</v>
      </c>
      <c r="F542" s="221">
        <v>1500</v>
      </c>
      <c r="G542" s="205">
        <v>46113</v>
      </c>
    </row>
    <row r="543" spans="1:7" ht="23.25">
      <c r="A543" s="192">
        <v>51</v>
      </c>
      <c r="B543" s="191" t="s">
        <v>111</v>
      </c>
      <c r="C543" s="190" t="s">
        <v>112</v>
      </c>
      <c r="D543" s="189">
        <v>3</v>
      </c>
      <c r="E543" s="188">
        <v>9434216284</v>
      </c>
      <c r="F543" s="198">
        <v>1500</v>
      </c>
      <c r="G543" s="186">
        <v>46113</v>
      </c>
    </row>
    <row r="544" spans="1:7" ht="23.25">
      <c r="A544" s="192">
        <v>52</v>
      </c>
      <c r="B544" s="191" t="s">
        <v>113</v>
      </c>
      <c r="C544" s="190" t="s">
        <v>114</v>
      </c>
      <c r="D544" s="189">
        <v>2</v>
      </c>
      <c r="E544" s="188">
        <v>9458208175</v>
      </c>
      <c r="F544" s="198">
        <v>1200</v>
      </c>
      <c r="G544" s="186">
        <v>46113</v>
      </c>
    </row>
    <row r="545" spans="1:7" ht="23.25">
      <c r="A545" s="192">
        <v>58</v>
      </c>
      <c r="B545" s="191" t="s">
        <v>120</v>
      </c>
      <c r="C545" s="190" t="s">
        <v>121</v>
      </c>
      <c r="D545" s="189">
        <v>3</v>
      </c>
      <c r="E545" s="188">
        <v>9681429435</v>
      </c>
      <c r="F545" s="187">
        <v>1500</v>
      </c>
      <c r="G545" s="186">
        <v>46113</v>
      </c>
    </row>
    <row r="546" spans="1:7" ht="23.25">
      <c r="A546" s="192">
        <v>59</v>
      </c>
      <c r="B546" s="191" t="s">
        <v>122</v>
      </c>
      <c r="C546" s="190" t="s">
        <v>123</v>
      </c>
      <c r="D546" s="189">
        <v>3</v>
      </c>
      <c r="E546" s="188">
        <v>7908970236</v>
      </c>
      <c r="F546" s="187">
        <v>1500</v>
      </c>
      <c r="G546" s="186">
        <v>46113</v>
      </c>
    </row>
    <row r="547" spans="1:7" ht="23.25">
      <c r="A547" s="192">
        <v>60</v>
      </c>
      <c r="B547" s="191" t="s">
        <v>124</v>
      </c>
      <c r="C547" s="190" t="s">
        <v>125</v>
      </c>
      <c r="D547" s="189">
        <v>2</v>
      </c>
      <c r="E547" s="188">
        <v>9046420491</v>
      </c>
      <c r="F547" s="187">
        <v>1200</v>
      </c>
      <c r="G547" s="186">
        <v>46113</v>
      </c>
    </row>
    <row r="548" spans="1:7" ht="23.25">
      <c r="A548" s="192">
        <v>1</v>
      </c>
      <c r="B548" s="191" t="s">
        <v>26</v>
      </c>
      <c r="C548" s="190" t="s">
        <v>27</v>
      </c>
      <c r="D548" s="189">
        <v>3</v>
      </c>
      <c r="E548" s="188">
        <v>9609688683</v>
      </c>
      <c r="F548" s="198">
        <v>1500</v>
      </c>
      <c r="G548" s="186">
        <v>46143</v>
      </c>
    </row>
    <row r="549" spans="1:7" ht="23.25">
      <c r="A549" s="192">
        <v>2</v>
      </c>
      <c r="B549" s="191" t="s">
        <v>28</v>
      </c>
      <c r="C549" s="190" t="s">
        <v>29</v>
      </c>
      <c r="D549" s="189">
        <v>3</v>
      </c>
      <c r="E549" s="188">
        <v>7557076444</v>
      </c>
      <c r="F549" s="198">
        <v>1500</v>
      </c>
      <c r="G549" s="186">
        <v>46143</v>
      </c>
    </row>
    <row r="550" spans="1:7" ht="23.25">
      <c r="A550" s="192">
        <v>3</v>
      </c>
      <c r="B550" s="191" t="s">
        <v>30</v>
      </c>
      <c r="C550" s="190" t="s">
        <v>31</v>
      </c>
      <c r="D550" s="189">
        <v>2</v>
      </c>
      <c r="E550" s="188">
        <v>8001604274</v>
      </c>
      <c r="F550" s="187">
        <v>1200</v>
      </c>
      <c r="G550" s="186">
        <v>46143</v>
      </c>
    </row>
    <row r="551" spans="1:7" ht="23.25">
      <c r="A551" s="188">
        <v>5</v>
      </c>
      <c r="B551" s="197" t="s">
        <v>33</v>
      </c>
      <c r="C551" s="196" t="s">
        <v>34</v>
      </c>
      <c r="D551" s="196">
        <v>3</v>
      </c>
      <c r="E551" s="195">
        <v>9434115212</v>
      </c>
      <c r="F551" s="221">
        <v>1500</v>
      </c>
      <c r="G551" s="205">
        <v>46143</v>
      </c>
    </row>
    <row r="552" spans="1:7" ht="23.25">
      <c r="A552" s="192">
        <v>6</v>
      </c>
      <c r="B552" s="191" t="s">
        <v>35</v>
      </c>
      <c r="C552" s="190" t="s">
        <v>243</v>
      </c>
      <c r="D552" s="189" t="s">
        <v>24</v>
      </c>
      <c r="E552" s="188">
        <v>9474561244</v>
      </c>
      <c r="F552" s="198">
        <f>1500+1200</f>
        <v>2700</v>
      </c>
      <c r="G552" s="186">
        <v>46143</v>
      </c>
    </row>
    <row r="553" spans="1:7" ht="23.25">
      <c r="A553" s="192">
        <v>7</v>
      </c>
      <c r="B553" s="228" t="s">
        <v>1</v>
      </c>
      <c r="C553" s="190" t="s">
        <v>37</v>
      </c>
      <c r="D553" s="189">
        <v>2</v>
      </c>
      <c r="E553" s="207">
        <v>9475044158</v>
      </c>
      <c r="F553" s="198">
        <v>1200</v>
      </c>
      <c r="G553" s="186">
        <v>46143</v>
      </c>
    </row>
    <row r="554" spans="1:7" ht="23.25">
      <c r="A554" s="192">
        <v>8</v>
      </c>
      <c r="B554" s="191" t="s">
        <v>0</v>
      </c>
      <c r="C554" s="196" t="s">
        <v>242</v>
      </c>
      <c r="D554" s="189" t="s">
        <v>24</v>
      </c>
      <c r="E554" s="188">
        <v>9933111420</v>
      </c>
      <c r="F554" s="187">
        <f>1500+1200</f>
        <v>2700</v>
      </c>
      <c r="G554" s="186">
        <v>46143</v>
      </c>
    </row>
    <row r="555" spans="1:7" ht="23.25">
      <c r="A555" s="192">
        <v>9</v>
      </c>
      <c r="B555" s="191" t="s">
        <v>39</v>
      </c>
      <c r="C555" s="190" t="s">
        <v>40</v>
      </c>
      <c r="D555" s="189">
        <v>3</v>
      </c>
      <c r="E555" s="188">
        <v>9427221065</v>
      </c>
      <c r="F555" s="187">
        <v>1500</v>
      </c>
      <c r="G555" s="186">
        <v>46143</v>
      </c>
    </row>
    <row r="556" spans="1:7" ht="23.25">
      <c r="A556" s="192">
        <v>11</v>
      </c>
      <c r="B556" s="191" t="s">
        <v>42</v>
      </c>
      <c r="C556" s="190" t="s">
        <v>43</v>
      </c>
      <c r="D556" s="189">
        <v>3</v>
      </c>
      <c r="E556" s="188">
        <v>8962744280</v>
      </c>
      <c r="F556" s="187">
        <v>1500</v>
      </c>
      <c r="G556" s="186">
        <v>46143</v>
      </c>
    </row>
    <row r="557" spans="1:7" ht="23.25">
      <c r="A557" s="192">
        <v>12</v>
      </c>
      <c r="B557" s="191" t="s">
        <v>44</v>
      </c>
      <c r="C557" s="190" t="s">
        <v>45</v>
      </c>
      <c r="D557" s="189">
        <v>3</v>
      </c>
      <c r="E557" s="188">
        <v>9749543529</v>
      </c>
      <c r="F557" s="187">
        <v>1500</v>
      </c>
      <c r="G557" s="186">
        <v>46143</v>
      </c>
    </row>
    <row r="558" spans="1:7" ht="23.25">
      <c r="A558" s="192">
        <v>13</v>
      </c>
      <c r="B558" s="191" t="s">
        <v>46</v>
      </c>
      <c r="C558" s="190" t="s">
        <v>47</v>
      </c>
      <c r="D558" s="189">
        <v>2</v>
      </c>
      <c r="E558" s="188">
        <v>7001420328</v>
      </c>
      <c r="F558" s="187">
        <v>1200</v>
      </c>
      <c r="G558" s="186">
        <v>46143</v>
      </c>
    </row>
    <row r="559" spans="1:7" ht="23.25">
      <c r="A559" s="192">
        <v>15</v>
      </c>
      <c r="B559" s="191" t="s">
        <v>49</v>
      </c>
      <c r="C559" s="190" t="s">
        <v>50</v>
      </c>
      <c r="D559" s="189">
        <v>3</v>
      </c>
      <c r="E559" s="188">
        <v>8918008545</v>
      </c>
      <c r="F559" s="198">
        <v>1500</v>
      </c>
      <c r="G559" s="186">
        <v>46143</v>
      </c>
    </row>
    <row r="560" spans="1:7" ht="23.25">
      <c r="A560" s="188">
        <v>16</v>
      </c>
      <c r="B560" s="197" t="s">
        <v>51</v>
      </c>
      <c r="C560" s="196" t="s">
        <v>52</v>
      </c>
      <c r="D560" s="196">
        <v>3</v>
      </c>
      <c r="E560" s="195">
        <v>8967856644</v>
      </c>
      <c r="F560" s="221">
        <v>1500</v>
      </c>
      <c r="G560" s="205">
        <v>46143</v>
      </c>
    </row>
    <row r="561" spans="1:7" ht="23.25">
      <c r="A561" s="192">
        <v>17</v>
      </c>
      <c r="B561" s="191" t="s">
        <v>53</v>
      </c>
      <c r="C561" s="190" t="s">
        <v>54</v>
      </c>
      <c r="D561" s="189">
        <v>2</v>
      </c>
      <c r="E561" s="188">
        <v>8436193278</v>
      </c>
      <c r="F561" s="198">
        <v>1200</v>
      </c>
      <c r="G561" s="186">
        <v>46143</v>
      </c>
    </row>
    <row r="562" spans="1:7" ht="23.25">
      <c r="A562" s="192">
        <v>20</v>
      </c>
      <c r="B562" s="191" t="s">
        <v>57</v>
      </c>
      <c r="C562" s="190" t="s">
        <v>58</v>
      </c>
      <c r="D562" s="189">
        <v>3</v>
      </c>
      <c r="E562" s="188">
        <v>9474039781</v>
      </c>
      <c r="F562" s="198">
        <v>1500</v>
      </c>
      <c r="G562" s="186">
        <v>46143</v>
      </c>
    </row>
    <row r="563" spans="1:7" ht="23.25">
      <c r="A563" s="192">
        <v>21</v>
      </c>
      <c r="B563" s="191" t="s">
        <v>59</v>
      </c>
      <c r="C563" s="190" t="s">
        <v>60</v>
      </c>
      <c r="D563" s="189">
        <v>2</v>
      </c>
      <c r="E563" s="188">
        <v>8789747535</v>
      </c>
      <c r="F563" s="198">
        <v>1200</v>
      </c>
      <c r="G563" s="186">
        <v>46143</v>
      </c>
    </row>
    <row r="564" spans="1:7" ht="23.25">
      <c r="A564" s="192">
        <v>22</v>
      </c>
      <c r="B564" s="191" t="s">
        <v>61</v>
      </c>
      <c r="C564" s="190" t="s">
        <v>62</v>
      </c>
      <c r="D564" s="189">
        <v>2</v>
      </c>
      <c r="E564" s="188">
        <v>9732006006</v>
      </c>
      <c r="F564" s="198">
        <v>1200</v>
      </c>
      <c r="G564" s="186">
        <v>46143</v>
      </c>
    </row>
    <row r="565" spans="1:7" ht="23.25">
      <c r="A565" s="192">
        <v>23</v>
      </c>
      <c r="B565" s="191" t="s">
        <v>63</v>
      </c>
      <c r="C565" s="190" t="s">
        <v>64</v>
      </c>
      <c r="D565" s="189">
        <v>3</v>
      </c>
      <c r="E565" s="188">
        <v>8927777001</v>
      </c>
      <c r="F565" s="227">
        <v>1500</v>
      </c>
      <c r="G565" s="186">
        <v>46143</v>
      </c>
    </row>
    <row r="566" spans="1:7" ht="46.5">
      <c r="A566" s="192">
        <v>24</v>
      </c>
      <c r="B566" s="191" t="s">
        <v>65</v>
      </c>
      <c r="C566" s="190" t="s">
        <v>66</v>
      </c>
      <c r="D566" s="189">
        <v>3</v>
      </c>
      <c r="E566" s="207" t="s">
        <v>241</v>
      </c>
      <c r="F566" s="198">
        <v>1500</v>
      </c>
      <c r="G566" s="186">
        <v>46143</v>
      </c>
    </row>
    <row r="567" spans="1:7" ht="23.25">
      <c r="A567" s="192">
        <v>25</v>
      </c>
      <c r="B567" s="191" t="s">
        <v>67</v>
      </c>
      <c r="C567" s="190" t="s">
        <v>68</v>
      </c>
      <c r="D567" s="189">
        <v>2</v>
      </c>
      <c r="E567" s="188">
        <v>9775033283</v>
      </c>
      <c r="F567" s="198">
        <v>1200</v>
      </c>
      <c r="G567" s="186">
        <v>46143</v>
      </c>
    </row>
    <row r="568" spans="1:7" ht="23.25">
      <c r="A568" s="188">
        <v>27</v>
      </c>
      <c r="B568" s="197" t="s">
        <v>70</v>
      </c>
      <c r="C568" s="196" t="s">
        <v>71</v>
      </c>
      <c r="D568" s="196">
        <v>3</v>
      </c>
      <c r="E568" s="195">
        <v>9007993440</v>
      </c>
      <c r="F568" s="221">
        <v>1500</v>
      </c>
      <c r="G568" s="205">
        <v>46143</v>
      </c>
    </row>
    <row r="569" spans="1:7" ht="23.25">
      <c r="A569" s="192">
        <v>28</v>
      </c>
      <c r="B569" s="191" t="s">
        <v>72</v>
      </c>
      <c r="C569" s="190" t="s">
        <v>73</v>
      </c>
      <c r="D569" s="189">
        <v>3</v>
      </c>
      <c r="E569" s="188">
        <v>9851121248</v>
      </c>
      <c r="F569" s="198">
        <v>1500</v>
      </c>
      <c r="G569" s="186">
        <v>46143</v>
      </c>
    </row>
    <row r="570" spans="1:7" ht="23.25">
      <c r="A570" s="192">
        <v>29</v>
      </c>
      <c r="B570" s="191" t="s">
        <v>74</v>
      </c>
      <c r="C570" s="190" t="s">
        <v>75</v>
      </c>
      <c r="D570" s="189">
        <v>2</v>
      </c>
      <c r="E570" s="188">
        <v>7908578532</v>
      </c>
      <c r="F570" s="198">
        <v>1200</v>
      </c>
      <c r="G570" s="186">
        <v>46143</v>
      </c>
    </row>
    <row r="571" spans="1:7" ht="23.25">
      <c r="A571" s="192">
        <v>30</v>
      </c>
      <c r="B571" s="191" t="s">
        <v>76</v>
      </c>
      <c r="C571" s="190" t="s">
        <v>77</v>
      </c>
      <c r="D571" s="189">
        <v>2</v>
      </c>
      <c r="E571" s="188">
        <v>8637853169</v>
      </c>
      <c r="F571" s="198">
        <v>1200</v>
      </c>
      <c r="G571" s="186">
        <v>46143</v>
      </c>
    </row>
    <row r="572" spans="1:7" ht="23.25">
      <c r="A572" s="192">
        <v>31</v>
      </c>
      <c r="B572" s="191" t="s">
        <v>78</v>
      </c>
      <c r="C572" s="190" t="s">
        <v>79</v>
      </c>
      <c r="D572" s="189">
        <v>3</v>
      </c>
      <c r="E572" s="188">
        <v>9434101485</v>
      </c>
      <c r="F572" s="198">
        <v>1500</v>
      </c>
      <c r="G572" s="186">
        <v>46143</v>
      </c>
    </row>
    <row r="573" spans="1:7" ht="23.25">
      <c r="A573" s="203">
        <v>32</v>
      </c>
      <c r="B573" s="202" t="s">
        <v>137</v>
      </c>
      <c r="C573" s="201" t="s">
        <v>80</v>
      </c>
      <c r="D573" s="200">
        <v>3</v>
      </c>
      <c r="E573" s="199">
        <v>8820411025</v>
      </c>
      <c r="F573" s="198">
        <v>1500</v>
      </c>
      <c r="G573" s="186">
        <v>46143</v>
      </c>
    </row>
    <row r="574" spans="1:7" ht="23.25">
      <c r="A574" s="192">
        <v>33</v>
      </c>
      <c r="B574" s="191" t="s">
        <v>81</v>
      </c>
      <c r="C574" s="190" t="s">
        <v>82</v>
      </c>
      <c r="D574" s="189">
        <v>2</v>
      </c>
      <c r="E574" s="188">
        <v>9749449845</v>
      </c>
      <c r="F574" s="198">
        <v>1200</v>
      </c>
      <c r="G574" s="226">
        <v>46143</v>
      </c>
    </row>
    <row r="575" spans="1:7" ht="23.25">
      <c r="A575" s="192">
        <v>34</v>
      </c>
      <c r="B575" s="191" t="s">
        <v>83</v>
      </c>
      <c r="C575" s="190" t="s">
        <v>84</v>
      </c>
      <c r="D575" s="189">
        <v>2</v>
      </c>
      <c r="E575" s="188">
        <v>9735135784</v>
      </c>
      <c r="F575" s="198">
        <v>1200</v>
      </c>
      <c r="G575" s="226">
        <v>46143</v>
      </c>
    </row>
    <row r="576" spans="1:7" ht="23.25">
      <c r="A576" s="192">
        <v>35</v>
      </c>
      <c r="B576" s="191" t="s">
        <v>85</v>
      </c>
      <c r="C576" s="190" t="s">
        <v>244</v>
      </c>
      <c r="D576" s="189" t="s">
        <v>25</v>
      </c>
      <c r="E576" s="188">
        <v>9474567580</v>
      </c>
      <c r="F576" s="198">
        <v>2700</v>
      </c>
      <c r="G576" s="186">
        <v>46143</v>
      </c>
    </row>
    <row r="577" spans="1:7" ht="23.25">
      <c r="A577" s="188">
        <v>36</v>
      </c>
      <c r="B577" s="197" t="s">
        <v>87</v>
      </c>
      <c r="C577" s="196" t="s">
        <v>88</v>
      </c>
      <c r="D577" s="196">
        <v>3</v>
      </c>
      <c r="E577" s="195">
        <v>9836087162</v>
      </c>
      <c r="F577" s="221">
        <v>1500</v>
      </c>
      <c r="G577" s="205">
        <v>46143</v>
      </c>
    </row>
    <row r="578" spans="1:7" ht="23.25">
      <c r="A578" s="192">
        <v>37</v>
      </c>
      <c r="B578" s="191" t="s">
        <v>89</v>
      </c>
      <c r="C578" s="190" t="s">
        <v>90</v>
      </c>
      <c r="D578" s="189">
        <v>2</v>
      </c>
      <c r="E578" s="188">
        <v>8101850717</v>
      </c>
      <c r="F578" s="198">
        <v>1200</v>
      </c>
      <c r="G578" s="186">
        <v>46143</v>
      </c>
    </row>
    <row r="579" spans="1:7" ht="23.25">
      <c r="A579" s="192">
        <v>38</v>
      </c>
      <c r="B579" s="191" t="s">
        <v>91</v>
      </c>
      <c r="C579" s="190" t="s">
        <v>92</v>
      </c>
      <c r="D579" s="189">
        <v>3</v>
      </c>
      <c r="E579" s="188">
        <v>8318151358</v>
      </c>
      <c r="F579" s="198">
        <v>1500</v>
      </c>
      <c r="G579" s="186">
        <v>46143</v>
      </c>
    </row>
    <row r="580" spans="1:7" ht="23.25">
      <c r="A580" s="192">
        <v>39</v>
      </c>
      <c r="B580" s="191" t="s">
        <v>93</v>
      </c>
      <c r="C580" s="190" t="s">
        <v>94</v>
      </c>
      <c r="D580" s="189">
        <v>3</v>
      </c>
      <c r="E580" s="188">
        <v>6296936814</v>
      </c>
      <c r="F580" s="198">
        <v>1500</v>
      </c>
      <c r="G580" s="186">
        <v>46143</v>
      </c>
    </row>
    <row r="581" spans="1:7" ht="23.25">
      <c r="A581" s="192">
        <v>40</v>
      </c>
      <c r="B581" s="191" t="s">
        <v>95</v>
      </c>
      <c r="C581" s="190" t="s">
        <v>96</v>
      </c>
      <c r="D581" s="189">
        <v>2</v>
      </c>
      <c r="E581" s="188">
        <v>9531571901</v>
      </c>
      <c r="F581" s="198">
        <v>1200</v>
      </c>
      <c r="G581" s="186">
        <v>46143</v>
      </c>
    </row>
    <row r="582" spans="1:7" ht="23.25">
      <c r="A582" s="192">
        <v>42</v>
      </c>
      <c r="B582" s="191" t="s">
        <v>98</v>
      </c>
      <c r="C582" s="190" t="s">
        <v>99</v>
      </c>
      <c r="D582" s="189">
        <v>3</v>
      </c>
      <c r="E582" s="188">
        <v>7680914260</v>
      </c>
      <c r="F582" s="198">
        <v>1500</v>
      </c>
      <c r="G582" s="186">
        <v>46143</v>
      </c>
    </row>
    <row r="583" spans="1:7" ht="23.25">
      <c r="A583" s="203">
        <v>43</v>
      </c>
      <c r="B583" s="202" t="s">
        <v>134</v>
      </c>
      <c r="C583" s="201" t="s">
        <v>100</v>
      </c>
      <c r="D583" s="200">
        <v>3</v>
      </c>
      <c r="E583" s="199">
        <v>7044376634</v>
      </c>
      <c r="F583" s="198">
        <v>1500</v>
      </c>
      <c r="G583" s="186">
        <v>46143</v>
      </c>
    </row>
    <row r="584" spans="1:7" ht="23.25">
      <c r="A584" s="203">
        <v>44</v>
      </c>
      <c r="B584" s="202" t="s">
        <v>135</v>
      </c>
      <c r="C584" s="201" t="s">
        <v>101</v>
      </c>
      <c r="D584" s="200">
        <v>2</v>
      </c>
      <c r="E584" s="199">
        <v>7908550094</v>
      </c>
      <c r="F584" s="187">
        <v>1200</v>
      </c>
      <c r="G584" s="186">
        <v>46143</v>
      </c>
    </row>
    <row r="585" spans="1:7" ht="23.25">
      <c r="A585" s="192">
        <v>46</v>
      </c>
      <c r="B585" s="191" t="s">
        <v>103</v>
      </c>
      <c r="C585" s="190" t="s">
        <v>104</v>
      </c>
      <c r="D585" s="189">
        <v>3</v>
      </c>
      <c r="E585" s="188">
        <v>7908182143</v>
      </c>
      <c r="F585" s="187">
        <v>1500</v>
      </c>
      <c r="G585" s="186">
        <v>46143</v>
      </c>
    </row>
    <row r="586" spans="1:7" ht="23.25">
      <c r="A586" s="225">
        <v>48</v>
      </c>
      <c r="B586" s="224" t="s">
        <v>136</v>
      </c>
      <c r="C586" s="223" t="s">
        <v>107</v>
      </c>
      <c r="D586" s="223"/>
      <c r="E586" s="222">
        <v>9831313288</v>
      </c>
      <c r="F586" s="221">
        <v>1200</v>
      </c>
      <c r="G586" s="205">
        <v>46143</v>
      </c>
    </row>
    <row r="587" spans="1:7" ht="23.25">
      <c r="A587" s="192">
        <v>50</v>
      </c>
      <c r="B587" s="191" t="s">
        <v>109</v>
      </c>
      <c r="C587" s="190" t="s">
        <v>110</v>
      </c>
      <c r="D587" s="189">
        <v>3</v>
      </c>
      <c r="E587" s="188">
        <v>9681710268</v>
      </c>
      <c r="F587" s="198">
        <v>1500</v>
      </c>
      <c r="G587" s="186">
        <v>46143</v>
      </c>
    </row>
    <row r="588" spans="1:7" ht="23.25">
      <c r="A588" s="192">
        <v>51</v>
      </c>
      <c r="B588" s="191" t="s">
        <v>111</v>
      </c>
      <c r="C588" s="190" t="s">
        <v>112</v>
      </c>
      <c r="D588" s="189">
        <v>3</v>
      </c>
      <c r="E588" s="188">
        <v>9434216284</v>
      </c>
      <c r="F588" s="198">
        <v>1500</v>
      </c>
      <c r="G588" s="186">
        <v>46143</v>
      </c>
    </row>
    <row r="589" spans="1:7" ht="23.25">
      <c r="A589" s="192">
        <v>52</v>
      </c>
      <c r="B589" s="191" t="s">
        <v>113</v>
      </c>
      <c r="C589" s="190" t="s">
        <v>114</v>
      </c>
      <c r="D589" s="189">
        <v>2</v>
      </c>
      <c r="E589" s="188">
        <v>9458208175</v>
      </c>
      <c r="F589" s="198">
        <v>1200</v>
      </c>
      <c r="G589" s="186">
        <v>46143</v>
      </c>
    </row>
    <row r="590" spans="1:7" ht="23.25">
      <c r="A590" s="192">
        <v>58</v>
      </c>
      <c r="B590" s="191" t="s">
        <v>120</v>
      </c>
      <c r="C590" s="190" t="s">
        <v>121</v>
      </c>
      <c r="D590" s="189">
        <v>3</v>
      </c>
      <c r="E590" s="188">
        <v>9681429435</v>
      </c>
      <c r="F590" s="187">
        <v>1500</v>
      </c>
      <c r="G590" s="186">
        <v>46143</v>
      </c>
    </row>
    <row r="591" spans="1:7" ht="23.25">
      <c r="A591" s="192">
        <v>59</v>
      </c>
      <c r="B591" s="191" t="s">
        <v>122</v>
      </c>
      <c r="C591" s="190" t="s">
        <v>123</v>
      </c>
      <c r="D591" s="189">
        <v>3</v>
      </c>
      <c r="E591" s="188">
        <v>7908970236</v>
      </c>
      <c r="F591" s="187">
        <v>1500</v>
      </c>
      <c r="G591" s="186">
        <v>46143</v>
      </c>
    </row>
    <row r="592" spans="1:7" ht="23.25">
      <c r="A592" s="192">
        <v>60</v>
      </c>
      <c r="B592" s="191" t="s">
        <v>124</v>
      </c>
      <c r="C592" s="190" t="s">
        <v>125</v>
      </c>
      <c r="D592" s="189">
        <v>2</v>
      </c>
      <c r="E592" s="188">
        <v>9046420491</v>
      </c>
      <c r="F592" s="187">
        <v>1200</v>
      </c>
      <c r="G592" s="186">
        <v>46143</v>
      </c>
    </row>
    <row r="593" spans="1:7" ht="23.25">
      <c r="A593" s="192">
        <v>1</v>
      </c>
      <c r="B593" s="191" t="s">
        <v>26</v>
      </c>
      <c r="C593" s="190" t="s">
        <v>27</v>
      </c>
      <c r="D593" s="189">
        <v>3</v>
      </c>
      <c r="E593" s="188">
        <v>9609688683</v>
      </c>
      <c r="F593" s="198">
        <v>1500</v>
      </c>
      <c r="G593" s="186">
        <v>46143</v>
      </c>
    </row>
    <row r="594" spans="1:7" ht="23.25">
      <c r="A594" s="192">
        <v>2</v>
      </c>
      <c r="B594" s="191" t="s">
        <v>28</v>
      </c>
      <c r="C594" s="190" t="s">
        <v>29</v>
      </c>
      <c r="D594" s="189">
        <v>3</v>
      </c>
      <c r="E594" s="188">
        <v>7557076444</v>
      </c>
      <c r="F594" s="198">
        <v>1500</v>
      </c>
      <c r="G594" s="186">
        <v>46143</v>
      </c>
    </row>
    <row r="595" spans="1:7" ht="23.25">
      <c r="A595" s="217">
        <v>5</v>
      </c>
      <c r="B595" s="216" t="s">
        <v>33</v>
      </c>
      <c r="C595" s="215" t="s">
        <v>34</v>
      </c>
      <c r="D595" s="214">
        <v>3</v>
      </c>
      <c r="E595" s="213">
        <v>9434115212</v>
      </c>
      <c r="F595" s="218">
        <v>1500</v>
      </c>
      <c r="G595" s="211">
        <v>46143</v>
      </c>
    </row>
    <row r="596" spans="1:7" ht="23.25">
      <c r="A596" s="192">
        <v>6</v>
      </c>
      <c r="B596" s="216" t="s">
        <v>35</v>
      </c>
      <c r="C596" s="190" t="s">
        <v>243</v>
      </c>
      <c r="D596" s="214" t="s">
        <v>24</v>
      </c>
      <c r="E596" s="213">
        <v>9474561244</v>
      </c>
      <c r="F596" s="218">
        <f>1500+1200</f>
        <v>2700</v>
      </c>
      <c r="G596" s="211">
        <v>46143</v>
      </c>
    </row>
    <row r="597" spans="1:7" ht="23.25">
      <c r="A597" s="217">
        <v>7</v>
      </c>
      <c r="B597" s="220" t="s">
        <v>1</v>
      </c>
      <c r="C597" s="215" t="s">
        <v>37</v>
      </c>
      <c r="D597" s="214">
        <v>2</v>
      </c>
      <c r="E597" s="219">
        <v>9475044158</v>
      </c>
      <c r="F597" s="218">
        <v>1200</v>
      </c>
      <c r="G597" s="211">
        <v>46143</v>
      </c>
    </row>
    <row r="598" spans="1:7" ht="23.25">
      <c r="A598" s="217">
        <v>8</v>
      </c>
      <c r="B598" s="216" t="s">
        <v>0</v>
      </c>
      <c r="C598" s="196" t="s">
        <v>242</v>
      </c>
      <c r="D598" s="214" t="s">
        <v>24</v>
      </c>
      <c r="E598" s="213">
        <v>9933111420</v>
      </c>
      <c r="F598" s="212">
        <f>1500+1200</f>
        <v>2700</v>
      </c>
      <c r="G598" s="211">
        <v>46143</v>
      </c>
    </row>
    <row r="599" spans="1:7" ht="23.25">
      <c r="A599" s="208">
        <v>9</v>
      </c>
      <c r="B599" s="210" t="s">
        <v>39</v>
      </c>
      <c r="C599" s="209" t="s">
        <v>40</v>
      </c>
      <c r="D599" s="209">
        <v>3</v>
      </c>
      <c r="E599" s="208">
        <v>9427221065</v>
      </c>
      <c r="F599" s="187">
        <v>1500</v>
      </c>
      <c r="G599" s="186">
        <v>46143</v>
      </c>
    </row>
    <row r="600" spans="1:7" ht="23.25">
      <c r="A600" s="192">
        <v>11</v>
      </c>
      <c r="B600" s="191" t="s">
        <v>42</v>
      </c>
      <c r="C600" s="190" t="s">
        <v>43</v>
      </c>
      <c r="D600" s="189">
        <v>3</v>
      </c>
      <c r="E600" s="188">
        <v>8962744280</v>
      </c>
      <c r="F600" s="187">
        <v>1500</v>
      </c>
      <c r="G600" s="186">
        <v>46143</v>
      </c>
    </row>
    <row r="601" spans="1:7" ht="23.25">
      <c r="A601" s="192">
        <v>12</v>
      </c>
      <c r="B601" s="191" t="s">
        <v>44</v>
      </c>
      <c r="C601" s="190" t="s">
        <v>45</v>
      </c>
      <c r="D601" s="189">
        <v>3</v>
      </c>
      <c r="E601" s="188">
        <v>9749543529</v>
      </c>
      <c r="F601" s="187">
        <v>1500</v>
      </c>
      <c r="G601" s="186">
        <v>46143</v>
      </c>
    </row>
    <row r="602" spans="1:7" ht="23.25">
      <c r="A602" s="192">
        <v>13</v>
      </c>
      <c r="B602" s="191" t="s">
        <v>46</v>
      </c>
      <c r="C602" s="190" t="s">
        <v>47</v>
      </c>
      <c r="D602" s="189">
        <v>2</v>
      </c>
      <c r="E602" s="188">
        <v>7001420328</v>
      </c>
      <c r="F602" s="187">
        <v>1200</v>
      </c>
      <c r="G602" s="186">
        <v>46143</v>
      </c>
    </row>
    <row r="603" spans="1:7" ht="23.25">
      <c r="A603" s="192">
        <v>15</v>
      </c>
      <c r="B603" s="191" t="s">
        <v>49</v>
      </c>
      <c r="C603" s="190" t="s">
        <v>50</v>
      </c>
      <c r="D603" s="189">
        <v>3</v>
      </c>
      <c r="E603" s="188">
        <v>8918008545</v>
      </c>
      <c r="F603" s="198">
        <v>1500</v>
      </c>
      <c r="G603" s="186">
        <v>46143</v>
      </c>
    </row>
    <row r="604" spans="1:7" ht="23.25">
      <c r="A604" s="192">
        <v>16</v>
      </c>
      <c r="B604" s="191" t="s">
        <v>51</v>
      </c>
      <c r="C604" s="190" t="s">
        <v>52</v>
      </c>
      <c r="D604" s="189">
        <v>3</v>
      </c>
      <c r="E604" s="188">
        <v>8967856644</v>
      </c>
      <c r="F604" s="198">
        <v>1500</v>
      </c>
      <c r="G604" s="186">
        <v>46143</v>
      </c>
    </row>
    <row r="605" spans="1:7" ht="23.25">
      <c r="A605" s="192">
        <v>17</v>
      </c>
      <c r="B605" s="191" t="s">
        <v>53</v>
      </c>
      <c r="C605" s="190" t="s">
        <v>54</v>
      </c>
      <c r="D605" s="189">
        <v>2</v>
      </c>
      <c r="E605" s="188">
        <v>8436193278</v>
      </c>
      <c r="F605" s="198">
        <v>1200</v>
      </c>
      <c r="G605" s="186">
        <v>46143</v>
      </c>
    </row>
    <row r="606" spans="1:7" ht="23.25">
      <c r="A606" s="192">
        <v>20</v>
      </c>
      <c r="B606" s="191" t="s">
        <v>57</v>
      </c>
      <c r="C606" s="190" t="s">
        <v>58</v>
      </c>
      <c r="D606" s="189">
        <v>3</v>
      </c>
      <c r="E606" s="188">
        <v>9474039781</v>
      </c>
      <c r="F606" s="198">
        <v>1500</v>
      </c>
      <c r="G606" s="186">
        <v>46143</v>
      </c>
    </row>
    <row r="607" spans="1:7" ht="23.25">
      <c r="A607" s="192">
        <v>21</v>
      </c>
      <c r="B607" s="191" t="s">
        <v>59</v>
      </c>
      <c r="C607" s="190" t="s">
        <v>60</v>
      </c>
      <c r="D607" s="189">
        <v>2</v>
      </c>
      <c r="E607" s="188">
        <v>8789747535</v>
      </c>
      <c r="F607" s="198">
        <v>1200</v>
      </c>
      <c r="G607" s="186">
        <v>46143</v>
      </c>
    </row>
    <row r="608" spans="1:7" ht="23.25">
      <c r="A608" s="188">
        <v>22</v>
      </c>
      <c r="B608" s="197" t="s">
        <v>61</v>
      </c>
      <c r="C608" s="196" t="s">
        <v>62</v>
      </c>
      <c r="D608" s="196">
        <v>2</v>
      </c>
      <c r="E608" s="195">
        <v>9732006006</v>
      </c>
      <c r="F608" s="198">
        <v>1200</v>
      </c>
      <c r="G608" s="186">
        <v>46143</v>
      </c>
    </row>
    <row r="609" spans="1:7" ht="23.25">
      <c r="A609" s="192">
        <v>23</v>
      </c>
      <c r="B609" s="191" t="s">
        <v>63</v>
      </c>
      <c r="C609" s="190" t="s">
        <v>64</v>
      </c>
      <c r="D609" s="189">
        <v>3</v>
      </c>
      <c r="E609" s="188">
        <v>8927777001</v>
      </c>
      <c r="F609" s="198">
        <v>1500</v>
      </c>
      <c r="G609" s="186">
        <v>46143</v>
      </c>
    </row>
    <row r="610" spans="1:7" ht="46.5">
      <c r="A610" s="192">
        <v>24</v>
      </c>
      <c r="B610" s="191" t="s">
        <v>65</v>
      </c>
      <c r="C610" s="190" t="s">
        <v>66</v>
      </c>
      <c r="D610" s="189">
        <v>3</v>
      </c>
      <c r="E610" s="207" t="s">
        <v>241</v>
      </c>
      <c r="F610" s="198">
        <v>1500</v>
      </c>
      <c r="G610" s="186">
        <v>46143</v>
      </c>
    </row>
    <row r="611" spans="1:7" ht="23.25">
      <c r="A611" s="192">
        <v>25</v>
      </c>
      <c r="B611" s="191" t="s">
        <v>67</v>
      </c>
      <c r="C611" s="190" t="s">
        <v>68</v>
      </c>
      <c r="D611" s="189">
        <v>2</v>
      </c>
      <c r="E611" s="188">
        <v>9775033283</v>
      </c>
      <c r="F611" s="206">
        <v>1200</v>
      </c>
      <c r="G611" s="205">
        <v>46143</v>
      </c>
    </row>
    <row r="612" spans="1:7" ht="23.25">
      <c r="A612" s="192">
        <v>27</v>
      </c>
      <c r="B612" s="191" t="s">
        <v>70</v>
      </c>
      <c r="C612" s="190" t="s">
        <v>71</v>
      </c>
      <c r="D612" s="189">
        <v>3</v>
      </c>
      <c r="E612" s="188">
        <v>9007993440</v>
      </c>
      <c r="F612" s="198">
        <v>1500</v>
      </c>
      <c r="G612" s="186">
        <v>46143</v>
      </c>
    </row>
    <row r="613" spans="1:7" ht="23.25">
      <c r="A613" s="192">
        <v>28</v>
      </c>
      <c r="B613" s="191" t="s">
        <v>72</v>
      </c>
      <c r="C613" s="190" t="s">
        <v>73</v>
      </c>
      <c r="D613" s="189">
        <v>3</v>
      </c>
      <c r="E613" s="188">
        <v>9851121248</v>
      </c>
      <c r="F613" s="198">
        <v>1500</v>
      </c>
      <c r="G613" s="186">
        <v>46143</v>
      </c>
    </row>
    <row r="614" spans="1:7" ht="23.25">
      <c r="A614" s="192">
        <v>29</v>
      </c>
      <c r="B614" s="191" t="s">
        <v>74</v>
      </c>
      <c r="C614" s="190" t="s">
        <v>75</v>
      </c>
      <c r="D614" s="189">
        <v>2</v>
      </c>
      <c r="E614" s="188">
        <v>7908578532</v>
      </c>
      <c r="F614" s="198">
        <v>1200</v>
      </c>
      <c r="G614" s="186">
        <v>46143</v>
      </c>
    </row>
    <row r="615" spans="1:7" ht="23.25">
      <c r="A615" s="192">
        <v>30</v>
      </c>
      <c r="B615" s="191" t="s">
        <v>76</v>
      </c>
      <c r="C615" s="190" t="s">
        <v>77</v>
      </c>
      <c r="D615" s="189">
        <v>2</v>
      </c>
      <c r="E615" s="188">
        <v>8637853169</v>
      </c>
      <c r="F615" s="198">
        <v>1200</v>
      </c>
      <c r="G615" s="186">
        <v>46143</v>
      </c>
    </row>
    <row r="616" spans="1:7" ht="23.25">
      <c r="A616" s="188">
        <v>31</v>
      </c>
      <c r="B616" s="197" t="s">
        <v>78</v>
      </c>
      <c r="C616" s="196" t="s">
        <v>79</v>
      </c>
      <c r="D616" s="196">
        <v>3</v>
      </c>
      <c r="E616" s="195">
        <v>9434101485</v>
      </c>
      <c r="F616" s="204">
        <v>1500</v>
      </c>
      <c r="G616" s="193">
        <v>46143</v>
      </c>
    </row>
    <row r="617" spans="1:7" ht="23.25">
      <c r="A617" s="203">
        <v>32</v>
      </c>
      <c r="B617" s="202" t="s">
        <v>137</v>
      </c>
      <c r="C617" s="201" t="s">
        <v>80</v>
      </c>
      <c r="D617" s="200">
        <v>3</v>
      </c>
      <c r="E617" s="199">
        <v>8820411025</v>
      </c>
      <c r="F617" s="198">
        <v>1500</v>
      </c>
      <c r="G617" s="186">
        <v>46143</v>
      </c>
    </row>
    <row r="618" spans="1:7" ht="23.25">
      <c r="A618" s="192">
        <v>33</v>
      </c>
      <c r="B618" s="191" t="s">
        <v>81</v>
      </c>
      <c r="C618" s="190" t="s">
        <v>82</v>
      </c>
      <c r="D618" s="189">
        <v>2</v>
      </c>
      <c r="E618" s="188">
        <v>9749449845</v>
      </c>
      <c r="F618" s="198">
        <v>1200</v>
      </c>
      <c r="G618" s="186">
        <v>46143</v>
      </c>
    </row>
    <row r="619" spans="1:7" ht="23.25">
      <c r="A619" s="192">
        <v>34</v>
      </c>
      <c r="B619" s="191" t="s">
        <v>83</v>
      </c>
      <c r="C619" s="190" t="s">
        <v>84</v>
      </c>
      <c r="D619" s="189">
        <v>2</v>
      </c>
      <c r="E619" s="188">
        <v>9735135784</v>
      </c>
      <c r="F619" s="198">
        <v>1200</v>
      </c>
      <c r="G619" s="186">
        <v>46143</v>
      </c>
    </row>
    <row r="620" spans="1:7" ht="23.25">
      <c r="A620" s="192">
        <v>35</v>
      </c>
      <c r="B620" s="191" t="s">
        <v>85</v>
      </c>
      <c r="C620" s="190" t="s">
        <v>244</v>
      </c>
      <c r="D620" s="189" t="s">
        <v>25</v>
      </c>
      <c r="E620" s="188">
        <v>9474567580</v>
      </c>
      <c r="F620" s="198">
        <v>2700</v>
      </c>
      <c r="G620" s="186">
        <v>46143</v>
      </c>
    </row>
    <row r="621" spans="1:7" ht="23.25">
      <c r="A621" s="192">
        <v>36</v>
      </c>
      <c r="B621" s="191" t="s">
        <v>87</v>
      </c>
      <c r="C621" s="190" t="s">
        <v>88</v>
      </c>
      <c r="D621" s="189">
        <v>3</v>
      </c>
      <c r="E621" s="188">
        <v>9836087162</v>
      </c>
      <c r="F621" s="198">
        <v>1500</v>
      </c>
      <c r="G621" s="186">
        <v>46143</v>
      </c>
    </row>
    <row r="622" spans="1:7" ht="23.25">
      <c r="A622" s="192">
        <v>37</v>
      </c>
      <c r="B622" s="191" t="s">
        <v>89</v>
      </c>
      <c r="C622" s="190" t="s">
        <v>90</v>
      </c>
      <c r="D622" s="189">
        <v>2</v>
      </c>
      <c r="E622" s="188">
        <v>8101850717</v>
      </c>
      <c r="F622" s="198">
        <v>1200</v>
      </c>
      <c r="G622" s="186">
        <v>46143</v>
      </c>
    </row>
    <row r="623" spans="1:7" ht="23.25">
      <c r="A623" s="192">
        <v>38</v>
      </c>
      <c r="B623" s="191" t="s">
        <v>91</v>
      </c>
      <c r="C623" s="190" t="s">
        <v>92</v>
      </c>
      <c r="D623" s="189">
        <v>3</v>
      </c>
      <c r="E623" s="188">
        <v>8318151358</v>
      </c>
      <c r="F623" s="198">
        <v>1500</v>
      </c>
      <c r="G623" s="186">
        <v>46143</v>
      </c>
    </row>
    <row r="624" spans="1:7" ht="23.25">
      <c r="A624" s="192">
        <v>39</v>
      </c>
      <c r="B624" s="191" t="s">
        <v>93</v>
      </c>
      <c r="C624" s="190" t="s">
        <v>94</v>
      </c>
      <c r="D624" s="189">
        <v>3</v>
      </c>
      <c r="E624" s="188">
        <v>6296936814</v>
      </c>
      <c r="F624" s="198">
        <v>1500</v>
      </c>
      <c r="G624" s="186">
        <v>46143</v>
      </c>
    </row>
    <row r="625" spans="1:7" ht="23.25">
      <c r="A625" s="188">
        <v>40</v>
      </c>
      <c r="B625" s="197" t="s">
        <v>95</v>
      </c>
      <c r="C625" s="196" t="s">
        <v>96</v>
      </c>
      <c r="D625" s="196">
        <v>2</v>
      </c>
      <c r="E625" s="195">
        <v>9531571901</v>
      </c>
      <c r="F625" s="204">
        <v>1200</v>
      </c>
      <c r="G625" s="193">
        <v>46143</v>
      </c>
    </row>
    <row r="626" spans="1:7" ht="23.25">
      <c r="A626" s="192">
        <v>42</v>
      </c>
      <c r="B626" s="191" t="s">
        <v>98</v>
      </c>
      <c r="C626" s="190" t="s">
        <v>99</v>
      </c>
      <c r="D626" s="189">
        <v>3</v>
      </c>
      <c r="E626" s="188">
        <v>7680914260</v>
      </c>
      <c r="F626" s="198">
        <v>1500</v>
      </c>
      <c r="G626" s="186">
        <v>46143</v>
      </c>
    </row>
    <row r="627" spans="1:7" ht="23.25">
      <c r="A627" s="203">
        <v>43</v>
      </c>
      <c r="B627" s="202" t="s">
        <v>134</v>
      </c>
      <c r="C627" s="201" t="s">
        <v>100</v>
      </c>
      <c r="D627" s="200">
        <v>3</v>
      </c>
      <c r="E627" s="199">
        <v>7044376634</v>
      </c>
      <c r="F627" s="198">
        <v>1500</v>
      </c>
      <c r="G627" s="186">
        <v>46143</v>
      </c>
    </row>
    <row r="628" spans="1:7" ht="23.25">
      <c r="A628" s="203">
        <v>44</v>
      </c>
      <c r="B628" s="202" t="s">
        <v>135</v>
      </c>
      <c r="C628" s="201" t="s">
        <v>101</v>
      </c>
      <c r="D628" s="200">
        <v>2</v>
      </c>
      <c r="E628" s="199">
        <v>7908550094</v>
      </c>
      <c r="F628" s="187">
        <v>1200</v>
      </c>
      <c r="G628" s="186">
        <v>46143</v>
      </c>
    </row>
    <row r="629" spans="1:7" ht="23.25">
      <c r="A629" s="192">
        <v>46</v>
      </c>
      <c r="B629" s="191" t="s">
        <v>103</v>
      </c>
      <c r="C629" s="190" t="s">
        <v>104</v>
      </c>
      <c r="D629" s="189">
        <v>3</v>
      </c>
      <c r="E629" s="188">
        <v>7908182143</v>
      </c>
      <c r="F629" s="187">
        <v>1500</v>
      </c>
      <c r="G629" s="186">
        <v>46143</v>
      </c>
    </row>
    <row r="630" spans="1:7" ht="23.25">
      <c r="A630" s="203">
        <v>48</v>
      </c>
      <c r="B630" s="202" t="s">
        <v>136</v>
      </c>
      <c r="C630" s="201" t="s">
        <v>107</v>
      </c>
      <c r="D630" s="200"/>
      <c r="E630" s="199">
        <v>9831313288</v>
      </c>
      <c r="F630" s="198">
        <v>1200</v>
      </c>
      <c r="G630" s="186">
        <v>46143</v>
      </c>
    </row>
    <row r="631" spans="1:7" ht="23.25">
      <c r="A631" s="192">
        <v>50</v>
      </c>
      <c r="B631" s="191" t="s">
        <v>109</v>
      </c>
      <c r="C631" s="190" t="s">
        <v>110</v>
      </c>
      <c r="D631" s="189">
        <v>3</v>
      </c>
      <c r="E631" s="188">
        <v>9681710268</v>
      </c>
      <c r="F631" s="198">
        <v>1500</v>
      </c>
      <c r="G631" s="186">
        <v>46143</v>
      </c>
    </row>
    <row r="632" spans="1:7" ht="23.25">
      <c r="A632" s="192">
        <v>51</v>
      </c>
      <c r="B632" s="191" t="s">
        <v>111</v>
      </c>
      <c r="C632" s="190" t="s">
        <v>112</v>
      </c>
      <c r="D632" s="189">
        <v>3</v>
      </c>
      <c r="E632" s="188">
        <v>9434216284</v>
      </c>
      <c r="F632" s="198">
        <v>1500</v>
      </c>
      <c r="G632" s="186">
        <v>46143</v>
      </c>
    </row>
    <row r="633" spans="1:7" ht="23.25">
      <c r="A633" s="192">
        <v>52</v>
      </c>
      <c r="B633" s="191" t="s">
        <v>113</v>
      </c>
      <c r="C633" s="190" t="s">
        <v>114</v>
      </c>
      <c r="D633" s="189">
        <v>2</v>
      </c>
      <c r="E633" s="188">
        <v>9458208175</v>
      </c>
      <c r="F633" s="198">
        <v>1200</v>
      </c>
      <c r="G633" s="186">
        <v>46143</v>
      </c>
    </row>
    <row r="634" spans="1:7" ht="23.25">
      <c r="A634" s="188">
        <v>58</v>
      </c>
      <c r="B634" s="197" t="s">
        <v>120</v>
      </c>
      <c r="C634" s="196" t="s">
        <v>121</v>
      </c>
      <c r="D634" s="196">
        <v>3</v>
      </c>
      <c r="E634" s="195">
        <v>9681429435</v>
      </c>
      <c r="F634" s="194">
        <v>1500</v>
      </c>
      <c r="G634" s="193">
        <v>46143</v>
      </c>
    </row>
    <row r="635" spans="1:7" ht="23.25">
      <c r="A635" s="192">
        <v>59</v>
      </c>
      <c r="B635" s="191" t="s">
        <v>122</v>
      </c>
      <c r="C635" s="190" t="s">
        <v>123</v>
      </c>
      <c r="D635" s="189">
        <v>3</v>
      </c>
      <c r="E635" s="188">
        <v>7908970236</v>
      </c>
      <c r="F635" s="187">
        <v>1500</v>
      </c>
      <c r="G635" s="186">
        <v>46143</v>
      </c>
    </row>
    <row r="636" spans="1:7" ht="23.25">
      <c r="A636" s="192">
        <v>60</v>
      </c>
      <c r="B636" s="191" t="s">
        <v>124</v>
      </c>
      <c r="C636" s="190" t="s">
        <v>125</v>
      </c>
      <c r="D636" s="189">
        <v>2</v>
      </c>
      <c r="E636" s="188">
        <v>9046420491</v>
      </c>
      <c r="F636" s="187">
        <v>1200</v>
      </c>
      <c r="G636" s="186">
        <v>46143</v>
      </c>
    </row>
  </sheetData>
  <autoFilter ref="A5:G636" xr:uid="{51717A2D-38D8-4ABE-BD5F-98B6647922FB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81"/>
  <sheetViews>
    <sheetView zoomScale="50" zoomScaleNormal="50" zoomScaleSheetLayoutView="55" workbookViewId="0">
      <pane ySplit="1" topLeftCell="A2" activePane="bottomLeft" state="frozen"/>
      <selection pane="bottomLeft" activeCell="O54" sqref="O54"/>
    </sheetView>
  </sheetViews>
  <sheetFormatPr defaultColWidth="9.33203125" defaultRowHeight="12.75"/>
  <cols>
    <col min="1" max="1" width="14.1640625" customWidth="1"/>
    <col min="2" max="2" width="49.33203125" bestFit="1" customWidth="1"/>
    <col min="3" max="3" width="16.1640625" customWidth="1"/>
    <col min="4" max="4" width="20" customWidth="1"/>
    <col min="5" max="5" width="22.5" style="3" customWidth="1"/>
    <col min="6" max="6" width="16.1640625" style="3" customWidth="1"/>
    <col min="7" max="7" width="16.6640625" style="3" customWidth="1"/>
    <col min="8" max="9" width="17.83203125" style="3" customWidth="1"/>
    <col min="10" max="10" width="18" style="3" customWidth="1"/>
    <col min="11" max="11" width="15.6640625" style="3" customWidth="1"/>
    <col min="12" max="12" width="20.1640625" style="3" customWidth="1"/>
    <col min="13" max="13" width="15.83203125" style="3" customWidth="1"/>
    <col min="14" max="14" width="21.33203125" style="3" customWidth="1"/>
    <col min="15" max="15" width="18.5" style="3" customWidth="1"/>
    <col min="16" max="17" width="18" customWidth="1"/>
    <col min="18" max="18" width="17.6640625" customWidth="1"/>
    <col min="19" max="19" width="21.33203125" customWidth="1"/>
    <col min="20" max="21" width="16.83203125" customWidth="1"/>
    <col min="22" max="23" width="17.33203125" customWidth="1"/>
    <col min="24" max="33" width="18.5" customWidth="1"/>
    <col min="34" max="34" width="91.83203125" customWidth="1"/>
    <col min="35" max="35" width="18.5" customWidth="1"/>
    <col min="36" max="36" width="19.1640625" customWidth="1"/>
    <col min="37" max="38" width="18.6640625" customWidth="1"/>
    <col min="39" max="39" width="18.83203125" customWidth="1"/>
  </cols>
  <sheetData>
    <row r="1" spans="1:39" ht="20.100000000000001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</row>
    <row r="2" spans="1:39" ht="20.100000000000001" customHeight="1">
      <c r="A2" s="160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</row>
    <row r="3" spans="1:39" ht="65.25" customHeight="1">
      <c r="F3" s="171" t="s">
        <v>131</v>
      </c>
      <c r="G3" s="171"/>
      <c r="H3" s="4"/>
      <c r="I3" s="4"/>
      <c r="J3" s="171" t="s">
        <v>130</v>
      </c>
      <c r="K3" s="171"/>
      <c r="L3" s="4"/>
      <c r="M3" s="4"/>
      <c r="N3" s="4"/>
      <c r="O3" s="4"/>
      <c r="P3" s="2"/>
      <c r="Q3" s="2"/>
      <c r="R3" s="171" t="s">
        <v>127</v>
      </c>
      <c r="S3" s="171"/>
      <c r="T3" s="2"/>
      <c r="U3" s="2"/>
      <c r="V3" s="2"/>
      <c r="W3" s="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7"/>
    </row>
    <row r="4" spans="1:39" ht="44.45" customHeight="1">
      <c r="A4" s="161" t="s">
        <v>5</v>
      </c>
      <c r="B4" s="162"/>
      <c r="C4" s="162"/>
      <c r="D4" s="162"/>
      <c r="E4" s="163"/>
      <c r="F4" s="169">
        <v>45748</v>
      </c>
      <c r="G4" s="170"/>
      <c r="H4" s="167">
        <v>45778</v>
      </c>
      <c r="I4" s="168"/>
      <c r="J4" s="169">
        <v>45809</v>
      </c>
      <c r="K4" s="170"/>
      <c r="L4" s="167">
        <v>45839</v>
      </c>
      <c r="M4" s="168"/>
      <c r="N4" s="169">
        <v>45870</v>
      </c>
      <c r="O4" s="170"/>
      <c r="P4" s="167">
        <v>45901</v>
      </c>
      <c r="Q4" s="168"/>
      <c r="R4" s="169">
        <v>45931</v>
      </c>
      <c r="S4" s="170"/>
      <c r="T4" s="167">
        <v>45962</v>
      </c>
      <c r="U4" s="168"/>
      <c r="V4" s="158">
        <v>45992</v>
      </c>
      <c r="W4" s="159"/>
      <c r="X4" s="158">
        <v>46023</v>
      </c>
      <c r="Y4" s="159"/>
      <c r="Z4" s="158">
        <v>46054</v>
      </c>
      <c r="AA4" s="159"/>
      <c r="AB4" s="158">
        <v>46082</v>
      </c>
      <c r="AC4" s="159"/>
      <c r="AD4" s="158">
        <v>46113</v>
      </c>
      <c r="AE4" s="159"/>
      <c r="AF4" s="158">
        <v>46143</v>
      </c>
      <c r="AG4" s="159"/>
      <c r="AH4" s="10"/>
    </row>
    <row r="5" spans="1:39" s="5" customFormat="1" ht="31.5" customHeight="1">
      <c r="A5" s="29" t="s">
        <v>12</v>
      </c>
      <c r="B5" s="30" t="s">
        <v>13</v>
      </c>
      <c r="C5" s="29" t="s">
        <v>14</v>
      </c>
      <c r="D5" s="31" t="s">
        <v>23</v>
      </c>
      <c r="E5" s="8" t="s">
        <v>15</v>
      </c>
      <c r="F5" s="9" t="s">
        <v>18</v>
      </c>
      <c r="G5" s="9" t="s">
        <v>19</v>
      </c>
      <c r="H5" s="9" t="s">
        <v>18</v>
      </c>
      <c r="I5" s="9" t="s">
        <v>19</v>
      </c>
      <c r="J5" s="9" t="s">
        <v>18</v>
      </c>
      <c r="K5" s="9" t="s">
        <v>19</v>
      </c>
      <c r="L5" s="9" t="s">
        <v>18</v>
      </c>
      <c r="M5" s="9" t="s">
        <v>19</v>
      </c>
      <c r="N5" s="9" t="s">
        <v>18</v>
      </c>
      <c r="O5" s="9" t="s">
        <v>19</v>
      </c>
      <c r="P5" s="9" t="s">
        <v>18</v>
      </c>
      <c r="Q5" s="9" t="s">
        <v>19</v>
      </c>
      <c r="R5" s="9" t="s">
        <v>18</v>
      </c>
      <c r="S5" s="9" t="s">
        <v>19</v>
      </c>
      <c r="T5" s="9" t="s">
        <v>18</v>
      </c>
      <c r="U5" s="9" t="s">
        <v>19</v>
      </c>
      <c r="V5" s="9" t="s">
        <v>18</v>
      </c>
      <c r="W5" s="9" t="s">
        <v>19</v>
      </c>
      <c r="X5" s="9" t="s">
        <v>18</v>
      </c>
      <c r="Y5" s="9" t="s">
        <v>19</v>
      </c>
      <c r="Z5" s="9" t="s">
        <v>18</v>
      </c>
      <c r="AA5" s="9" t="s">
        <v>19</v>
      </c>
      <c r="AB5" s="9" t="s">
        <v>18</v>
      </c>
      <c r="AC5" s="9" t="s">
        <v>19</v>
      </c>
      <c r="AD5" s="9" t="s">
        <v>18</v>
      </c>
      <c r="AE5" s="9" t="s">
        <v>19</v>
      </c>
      <c r="AF5" s="9" t="s">
        <v>18</v>
      </c>
      <c r="AG5" s="9" t="s">
        <v>19</v>
      </c>
      <c r="AH5" s="11" t="s">
        <v>16</v>
      </c>
    </row>
    <row r="6" spans="1:39" ht="26.25" customHeight="1">
      <c r="A6" s="14">
        <v>1</v>
      </c>
      <c r="B6" s="15" t="s">
        <v>26</v>
      </c>
      <c r="C6" s="16" t="s">
        <v>27</v>
      </c>
      <c r="D6" s="17">
        <v>3</v>
      </c>
      <c r="E6" s="18">
        <v>9609688683</v>
      </c>
      <c r="F6" s="28">
        <v>1200</v>
      </c>
      <c r="G6" s="32">
        <v>45792</v>
      </c>
      <c r="H6" s="28">
        <v>1200</v>
      </c>
      <c r="I6" s="32">
        <v>45823</v>
      </c>
      <c r="J6" s="28">
        <v>1300</v>
      </c>
      <c r="K6" s="32">
        <v>45853</v>
      </c>
      <c r="L6" s="28">
        <v>1300</v>
      </c>
      <c r="M6" s="33">
        <v>45884</v>
      </c>
      <c r="N6" s="51">
        <v>1300</v>
      </c>
      <c r="O6" s="33">
        <v>45915</v>
      </c>
      <c r="P6" s="51">
        <v>1300</v>
      </c>
      <c r="Q6" s="33">
        <v>45945</v>
      </c>
      <c r="R6" s="28">
        <v>1500</v>
      </c>
      <c r="S6" s="1"/>
      <c r="T6" s="28">
        <v>1500</v>
      </c>
      <c r="U6" s="1"/>
      <c r="V6" s="28">
        <v>1500</v>
      </c>
      <c r="W6" s="1"/>
      <c r="X6" s="28">
        <v>1500</v>
      </c>
      <c r="Y6" s="1"/>
      <c r="Z6" s="28">
        <v>1500</v>
      </c>
      <c r="AA6" s="1"/>
      <c r="AB6" s="28">
        <v>1500</v>
      </c>
      <c r="AC6" s="1"/>
      <c r="AD6" s="28">
        <v>1500</v>
      </c>
      <c r="AE6" s="1"/>
      <c r="AF6" s="28">
        <v>1500</v>
      </c>
      <c r="AG6" s="1"/>
      <c r="AH6" s="1"/>
    </row>
    <row r="7" spans="1:39" ht="26.25" customHeight="1">
      <c r="A7" s="14">
        <v>2</v>
      </c>
      <c r="B7" s="15" t="s">
        <v>28</v>
      </c>
      <c r="C7" s="16" t="s">
        <v>29</v>
      </c>
      <c r="D7" s="17">
        <v>3</v>
      </c>
      <c r="E7" s="18">
        <v>7557076444</v>
      </c>
      <c r="F7" s="28">
        <v>1200</v>
      </c>
      <c r="G7" s="32">
        <v>45792</v>
      </c>
      <c r="H7" s="28">
        <v>1200</v>
      </c>
      <c r="I7" s="32">
        <v>45823</v>
      </c>
      <c r="J7" s="28">
        <v>1300</v>
      </c>
      <c r="K7" s="32">
        <v>45853</v>
      </c>
      <c r="L7" s="28">
        <v>1300</v>
      </c>
      <c r="M7" s="33">
        <v>45884</v>
      </c>
      <c r="N7" s="51">
        <v>1300</v>
      </c>
      <c r="O7" s="33">
        <v>45915</v>
      </c>
      <c r="P7" s="51">
        <v>1300</v>
      </c>
      <c r="Q7" s="33">
        <v>45945</v>
      </c>
      <c r="R7" s="28">
        <v>1300</v>
      </c>
      <c r="S7" s="1"/>
      <c r="T7" s="28">
        <v>1300</v>
      </c>
      <c r="U7" s="1"/>
      <c r="V7" s="28">
        <v>1300</v>
      </c>
      <c r="W7" s="1"/>
      <c r="X7" s="28">
        <v>1300</v>
      </c>
      <c r="Y7" s="1"/>
      <c r="Z7" s="28">
        <v>1500</v>
      </c>
      <c r="AA7" s="1"/>
      <c r="AB7" s="28">
        <v>1500</v>
      </c>
      <c r="AC7" s="1"/>
      <c r="AD7" s="28">
        <v>1500</v>
      </c>
      <c r="AE7" s="1"/>
      <c r="AF7" s="28">
        <v>1500</v>
      </c>
      <c r="AG7" s="1"/>
      <c r="AH7" s="1"/>
    </row>
    <row r="8" spans="1:39" ht="26.25" customHeight="1">
      <c r="A8" s="14">
        <v>3</v>
      </c>
      <c r="B8" s="15" t="s">
        <v>30</v>
      </c>
      <c r="C8" s="16" t="s">
        <v>31</v>
      </c>
      <c r="D8" s="17">
        <v>2</v>
      </c>
      <c r="E8" s="18">
        <v>8001604274</v>
      </c>
      <c r="F8" s="28">
        <v>1200</v>
      </c>
      <c r="G8" s="32">
        <v>45792</v>
      </c>
      <c r="H8" s="28">
        <v>1200</v>
      </c>
      <c r="I8" s="32">
        <v>45823</v>
      </c>
      <c r="J8" s="28">
        <v>1000</v>
      </c>
      <c r="K8" s="32">
        <v>45853</v>
      </c>
      <c r="L8" s="28">
        <v>1000</v>
      </c>
      <c r="M8" s="33">
        <v>45884</v>
      </c>
      <c r="N8" s="28">
        <v>1000</v>
      </c>
      <c r="O8" s="33">
        <v>45915</v>
      </c>
      <c r="P8" s="28">
        <v>1000</v>
      </c>
      <c r="Q8" s="33">
        <v>45945</v>
      </c>
      <c r="R8" s="73">
        <v>1200</v>
      </c>
      <c r="S8" s="117"/>
      <c r="T8" s="73">
        <v>1200</v>
      </c>
      <c r="U8" s="117"/>
      <c r="V8" s="73">
        <v>1200</v>
      </c>
      <c r="W8" s="117"/>
      <c r="X8" s="73">
        <v>1200</v>
      </c>
      <c r="Y8" s="117"/>
      <c r="Z8" s="73">
        <v>1200</v>
      </c>
      <c r="AA8" s="1"/>
      <c r="AB8" s="73">
        <v>1200</v>
      </c>
      <c r="AC8" s="1"/>
      <c r="AD8" s="73">
        <v>1200</v>
      </c>
      <c r="AE8" s="1"/>
      <c r="AF8" s="73"/>
      <c r="AG8" s="1"/>
      <c r="AH8" s="1"/>
    </row>
    <row r="9" spans="1:39" ht="26.25" customHeight="1">
      <c r="A9" s="14">
        <v>4</v>
      </c>
      <c r="B9" s="59" t="s">
        <v>20</v>
      </c>
      <c r="C9" s="16" t="s">
        <v>32</v>
      </c>
      <c r="D9" s="17">
        <v>2</v>
      </c>
      <c r="E9" s="21"/>
      <c r="F9" s="28">
        <v>1200</v>
      </c>
      <c r="G9" s="32">
        <v>45792</v>
      </c>
      <c r="H9" s="28">
        <v>1200</v>
      </c>
      <c r="I9" s="32">
        <v>45823</v>
      </c>
      <c r="J9" s="28">
        <v>1000</v>
      </c>
      <c r="K9" s="32">
        <v>45853</v>
      </c>
      <c r="L9" s="28">
        <f>1000+17200</f>
        <v>18200</v>
      </c>
      <c r="M9" s="33">
        <v>45884</v>
      </c>
      <c r="N9" s="51">
        <v>1000</v>
      </c>
      <c r="O9" s="33">
        <v>45915</v>
      </c>
      <c r="P9" s="28">
        <v>1000</v>
      </c>
      <c r="Q9" s="33">
        <v>45945</v>
      </c>
      <c r="R9" s="28">
        <v>1200</v>
      </c>
      <c r="S9" s="1"/>
      <c r="T9" s="28">
        <v>1200</v>
      </c>
      <c r="U9" s="1"/>
      <c r="V9" s="28">
        <v>1200</v>
      </c>
      <c r="W9" s="1"/>
      <c r="X9" s="28"/>
      <c r="Y9" s="1"/>
      <c r="Z9" s="115"/>
      <c r="AA9" s="1"/>
      <c r="AB9" s="57"/>
      <c r="AC9" s="1"/>
      <c r="AD9" s="57"/>
      <c r="AE9" s="1"/>
      <c r="AF9" s="57"/>
      <c r="AG9" s="1"/>
      <c r="AH9" s="1"/>
    </row>
    <row r="10" spans="1:39" ht="26.25" customHeight="1">
      <c r="A10" s="14">
        <v>5</v>
      </c>
      <c r="B10" s="15" t="s">
        <v>33</v>
      </c>
      <c r="C10" s="16" t="s">
        <v>34</v>
      </c>
      <c r="D10" s="17">
        <v>3</v>
      </c>
      <c r="E10" s="18">
        <v>9434115212</v>
      </c>
      <c r="F10" s="28">
        <v>1200</v>
      </c>
      <c r="G10" s="32">
        <v>45792</v>
      </c>
      <c r="H10" s="28">
        <v>1200</v>
      </c>
      <c r="I10" s="32">
        <v>45823</v>
      </c>
      <c r="J10" s="28">
        <v>1300</v>
      </c>
      <c r="K10" s="32">
        <v>45853</v>
      </c>
      <c r="L10" s="28">
        <v>1300</v>
      </c>
      <c r="M10" s="33">
        <v>45884</v>
      </c>
      <c r="N10" s="51">
        <v>1300</v>
      </c>
      <c r="O10" s="33">
        <v>45915</v>
      </c>
      <c r="P10" s="28">
        <v>1300</v>
      </c>
      <c r="Q10" s="33">
        <v>45945</v>
      </c>
      <c r="R10" s="28">
        <v>1500</v>
      </c>
      <c r="S10" s="1"/>
      <c r="T10" s="28">
        <v>1500</v>
      </c>
      <c r="U10" s="1"/>
      <c r="V10" s="28">
        <v>1500</v>
      </c>
      <c r="W10" s="1"/>
      <c r="X10" s="28">
        <v>1500</v>
      </c>
      <c r="Y10" s="1"/>
      <c r="Z10" s="28">
        <v>1500</v>
      </c>
      <c r="AA10" s="1"/>
      <c r="AB10" s="28">
        <v>1500</v>
      </c>
      <c r="AC10" s="1"/>
      <c r="AD10" s="28">
        <v>1500</v>
      </c>
      <c r="AE10" s="1"/>
      <c r="AF10" s="28">
        <v>1500</v>
      </c>
      <c r="AG10" s="1"/>
      <c r="AH10" s="1"/>
    </row>
    <row r="11" spans="1:39" ht="26.25" customHeight="1">
      <c r="A11" s="14">
        <v>6</v>
      </c>
      <c r="B11" s="15" t="s">
        <v>35</v>
      </c>
      <c r="C11" s="16" t="s">
        <v>36</v>
      </c>
      <c r="D11" s="17" t="s">
        <v>24</v>
      </c>
      <c r="E11" s="18">
        <v>9474561244</v>
      </c>
      <c r="F11" s="28">
        <v>2400</v>
      </c>
      <c r="G11" s="32">
        <v>45792</v>
      </c>
      <c r="H11" s="28">
        <v>2400</v>
      </c>
      <c r="I11" s="32">
        <v>45823</v>
      </c>
      <c r="J11" s="28">
        <v>2300</v>
      </c>
      <c r="K11" s="32">
        <v>45853</v>
      </c>
      <c r="L11" s="28">
        <v>2300</v>
      </c>
      <c r="M11" s="33">
        <v>45884</v>
      </c>
      <c r="N11" s="51">
        <v>2300</v>
      </c>
      <c r="O11" s="33">
        <v>45915</v>
      </c>
      <c r="P11" s="28">
        <v>2300</v>
      </c>
      <c r="Q11" s="33">
        <v>45945</v>
      </c>
      <c r="R11" s="28">
        <f>1500+1200</f>
        <v>2700</v>
      </c>
      <c r="S11" s="1"/>
      <c r="T11" s="28">
        <f>1500+1200</f>
        <v>2700</v>
      </c>
      <c r="U11" s="1"/>
      <c r="V11" s="28">
        <f>1500+1200</f>
        <v>2700</v>
      </c>
      <c r="W11" s="1"/>
      <c r="X11" s="28">
        <f>1500+1200</f>
        <v>2700</v>
      </c>
      <c r="Y11" s="1"/>
      <c r="Z11" s="28">
        <f>1500+1200</f>
        <v>2700</v>
      </c>
      <c r="AA11" s="1"/>
      <c r="AB11" s="28">
        <f>1500+1200</f>
        <v>2700</v>
      </c>
      <c r="AC11" s="1"/>
      <c r="AD11" s="28">
        <f>1500+1200</f>
        <v>2700</v>
      </c>
      <c r="AE11" s="1"/>
      <c r="AF11" s="28">
        <f>1500+1200</f>
        <v>2700</v>
      </c>
      <c r="AG11" s="1"/>
      <c r="AH11" s="1"/>
    </row>
    <row r="12" spans="1:39" ht="26.25" customHeight="1">
      <c r="A12" s="14">
        <v>7</v>
      </c>
      <c r="B12" s="20" t="s">
        <v>1</v>
      </c>
      <c r="C12" s="16" t="s">
        <v>37</v>
      </c>
      <c r="D12" s="17">
        <v>2</v>
      </c>
      <c r="E12" s="21">
        <v>9475044158</v>
      </c>
      <c r="F12" s="28">
        <v>1200</v>
      </c>
      <c r="G12" s="32">
        <v>45792</v>
      </c>
      <c r="H12" s="28">
        <v>1200</v>
      </c>
      <c r="I12" s="32">
        <v>45823</v>
      </c>
      <c r="J12" s="28">
        <v>1000</v>
      </c>
      <c r="K12" s="32">
        <v>45853</v>
      </c>
      <c r="L12" s="28">
        <v>1000</v>
      </c>
      <c r="M12" s="33">
        <v>45884</v>
      </c>
      <c r="N12" s="51">
        <v>1000</v>
      </c>
      <c r="O12" s="33">
        <v>45915</v>
      </c>
      <c r="P12" s="28">
        <v>1000</v>
      </c>
      <c r="Q12" s="33">
        <v>45945</v>
      </c>
      <c r="R12" s="28">
        <v>1200</v>
      </c>
      <c r="S12" s="1"/>
      <c r="T12" s="28">
        <v>1200</v>
      </c>
      <c r="U12" s="1"/>
      <c r="V12" s="28">
        <v>1200</v>
      </c>
      <c r="W12" s="1"/>
      <c r="X12" s="28">
        <v>1200</v>
      </c>
      <c r="Y12" s="1"/>
      <c r="Z12" s="28">
        <v>1200</v>
      </c>
      <c r="AA12" s="1"/>
      <c r="AB12" s="28">
        <v>1200</v>
      </c>
      <c r="AC12" s="1"/>
      <c r="AD12" s="28">
        <v>1200</v>
      </c>
      <c r="AE12" s="1"/>
      <c r="AF12" s="28">
        <v>1200</v>
      </c>
      <c r="AG12" s="1"/>
      <c r="AH12" s="1"/>
    </row>
    <row r="13" spans="1:39" ht="26.25" customHeight="1">
      <c r="A13" s="179" t="s">
        <v>4</v>
      </c>
      <c r="B13" s="180"/>
      <c r="C13" s="180"/>
      <c r="D13" s="180"/>
      <c r="E13" s="181"/>
      <c r="F13" s="99"/>
      <c r="G13" s="99"/>
      <c r="H13" s="99"/>
      <c r="I13" s="99"/>
      <c r="J13" s="100"/>
      <c r="K13" s="99"/>
      <c r="L13" s="100"/>
      <c r="M13" s="99"/>
      <c r="N13" s="100"/>
      <c r="O13" s="99"/>
      <c r="P13" s="101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"/>
      <c r="AD13" s="102"/>
      <c r="AE13" s="1"/>
      <c r="AF13" s="102"/>
      <c r="AG13" s="1"/>
      <c r="AH13" s="1"/>
    </row>
    <row r="14" spans="1:39" ht="26.25" customHeight="1">
      <c r="A14" s="14">
        <v>8</v>
      </c>
      <c r="B14" s="15" t="s">
        <v>0</v>
      </c>
      <c r="C14" s="16" t="s">
        <v>38</v>
      </c>
      <c r="D14" s="17" t="s">
        <v>24</v>
      </c>
      <c r="E14" s="18">
        <v>9933111420</v>
      </c>
      <c r="F14" s="28">
        <v>2400</v>
      </c>
      <c r="G14" s="32">
        <v>45792</v>
      </c>
      <c r="H14" s="28">
        <v>2400</v>
      </c>
      <c r="I14" s="32">
        <v>45823</v>
      </c>
      <c r="J14" s="28">
        <v>2300</v>
      </c>
      <c r="K14" s="32">
        <v>45853</v>
      </c>
      <c r="L14" s="28">
        <v>2300</v>
      </c>
      <c r="M14" s="33">
        <v>45884</v>
      </c>
      <c r="N14" s="28">
        <v>2300</v>
      </c>
      <c r="O14" s="33">
        <v>45915</v>
      </c>
      <c r="P14" s="28">
        <v>2300</v>
      </c>
      <c r="Q14" s="33">
        <v>45945</v>
      </c>
      <c r="R14" s="28">
        <f>1500+1200</f>
        <v>2700</v>
      </c>
      <c r="S14" s="1"/>
      <c r="T14" s="28">
        <f>1500+1200</f>
        <v>2700</v>
      </c>
      <c r="U14" s="1"/>
      <c r="V14" s="28">
        <f>1500+1200</f>
        <v>2700</v>
      </c>
      <c r="W14" s="1"/>
      <c r="X14" s="73">
        <f>1500+1200</f>
        <v>2700</v>
      </c>
      <c r="Y14" s="1"/>
      <c r="Z14" s="73">
        <f>1500+1200</f>
        <v>2700</v>
      </c>
      <c r="AA14" s="1"/>
      <c r="AB14" s="73">
        <f>1500+1200</f>
        <v>2700</v>
      </c>
      <c r="AC14" s="1"/>
      <c r="AD14" s="73">
        <f>1500+1200</f>
        <v>2700</v>
      </c>
      <c r="AE14" s="1"/>
      <c r="AF14" s="73">
        <f>1500+1200</f>
        <v>2700</v>
      </c>
      <c r="AG14" s="1"/>
      <c r="AH14" s="1"/>
    </row>
    <row r="15" spans="1:39" ht="26.25" customHeight="1">
      <c r="A15" s="14">
        <v>9</v>
      </c>
      <c r="B15" s="15" t="s">
        <v>39</v>
      </c>
      <c r="C15" s="16" t="s">
        <v>40</v>
      </c>
      <c r="D15" s="17">
        <v>3</v>
      </c>
      <c r="E15" s="18">
        <v>9427221065</v>
      </c>
      <c r="F15" s="28">
        <v>1200</v>
      </c>
      <c r="G15" s="32">
        <v>45792</v>
      </c>
      <c r="H15" s="28">
        <v>1200</v>
      </c>
      <c r="I15" s="32">
        <v>45823</v>
      </c>
      <c r="J15" s="28">
        <v>1300</v>
      </c>
      <c r="K15" s="32">
        <v>45853</v>
      </c>
      <c r="L15" s="28">
        <v>1300</v>
      </c>
      <c r="M15" s="33">
        <v>45884</v>
      </c>
      <c r="N15" s="28">
        <v>1300</v>
      </c>
      <c r="O15" s="33">
        <v>45915</v>
      </c>
      <c r="P15" s="28">
        <v>1300</v>
      </c>
      <c r="Q15" s="33">
        <v>45945</v>
      </c>
      <c r="R15" s="28">
        <v>1500</v>
      </c>
      <c r="S15" s="33">
        <v>45915</v>
      </c>
      <c r="T15" s="28">
        <v>1500</v>
      </c>
      <c r="U15" s="1"/>
      <c r="V15" s="28">
        <v>1500</v>
      </c>
      <c r="W15" s="1"/>
      <c r="X15" s="73">
        <v>1500</v>
      </c>
      <c r="Y15" s="1"/>
      <c r="Z15" s="73">
        <v>1500</v>
      </c>
      <c r="AA15" s="1"/>
      <c r="AB15" s="73">
        <v>1500</v>
      </c>
      <c r="AC15" s="1"/>
      <c r="AD15" s="73">
        <v>1500</v>
      </c>
      <c r="AE15" s="1"/>
      <c r="AF15" s="73">
        <v>1500</v>
      </c>
      <c r="AG15" s="1"/>
      <c r="AH15" s="1"/>
    </row>
    <row r="16" spans="1:39" s="42" customFormat="1" ht="26.25" customHeight="1">
      <c r="A16" s="34">
        <v>10</v>
      </c>
      <c r="B16" s="35"/>
      <c r="C16" s="36" t="s">
        <v>41</v>
      </c>
      <c r="D16" s="37"/>
      <c r="E16" s="38"/>
      <c r="F16" s="39"/>
      <c r="G16" s="39"/>
      <c r="H16" s="39"/>
      <c r="I16" s="39"/>
      <c r="J16" s="50"/>
      <c r="K16" s="39"/>
      <c r="L16" s="50"/>
      <c r="M16" s="40"/>
      <c r="N16" s="50"/>
      <c r="O16" s="40"/>
      <c r="P16" s="50"/>
      <c r="Q16" s="41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41"/>
      <c r="AC16" s="41"/>
      <c r="AD16" s="41"/>
      <c r="AE16" s="41"/>
      <c r="AF16" s="41"/>
      <c r="AG16" s="41"/>
      <c r="AH16" s="41"/>
    </row>
    <row r="17" spans="1:34" ht="26.25" customHeight="1">
      <c r="A17" s="14">
        <v>11</v>
      </c>
      <c r="B17" s="15" t="s">
        <v>42</v>
      </c>
      <c r="C17" s="16" t="s">
        <v>43</v>
      </c>
      <c r="D17" s="17">
        <v>3</v>
      </c>
      <c r="E17" s="18">
        <v>8962744280</v>
      </c>
      <c r="F17" s="28">
        <v>1200</v>
      </c>
      <c r="G17" s="32">
        <v>45792</v>
      </c>
      <c r="H17" s="28">
        <v>1200</v>
      </c>
      <c r="I17" s="32">
        <v>45823</v>
      </c>
      <c r="J17" s="28">
        <v>1300</v>
      </c>
      <c r="K17" s="32">
        <v>45853</v>
      </c>
      <c r="L17" s="28">
        <v>1300</v>
      </c>
      <c r="M17" s="33">
        <v>45884</v>
      </c>
      <c r="N17" s="28">
        <v>1300</v>
      </c>
      <c r="O17" s="33">
        <v>45915</v>
      </c>
      <c r="P17" s="28">
        <v>1300</v>
      </c>
      <c r="Q17" s="33">
        <v>45945</v>
      </c>
      <c r="R17" s="28">
        <v>1500</v>
      </c>
      <c r="S17" s="1"/>
      <c r="T17" s="28">
        <v>1500</v>
      </c>
      <c r="U17" s="1"/>
      <c r="V17" s="28">
        <v>1500</v>
      </c>
      <c r="W17" s="1"/>
      <c r="X17" s="73">
        <v>1500</v>
      </c>
      <c r="Y17" s="1"/>
      <c r="Z17" s="73">
        <v>1500</v>
      </c>
      <c r="AA17" s="1"/>
      <c r="AB17" s="73">
        <v>1500</v>
      </c>
      <c r="AC17" s="1"/>
      <c r="AD17" s="73">
        <v>1500</v>
      </c>
      <c r="AE17" s="1"/>
      <c r="AF17" s="73">
        <v>1500</v>
      </c>
      <c r="AG17" s="1"/>
      <c r="AH17" s="1"/>
    </row>
    <row r="18" spans="1:34" ht="26.25" customHeight="1">
      <c r="A18" s="14">
        <v>12</v>
      </c>
      <c r="B18" s="15" t="s">
        <v>44</v>
      </c>
      <c r="C18" s="16" t="s">
        <v>45</v>
      </c>
      <c r="D18" s="17">
        <v>3</v>
      </c>
      <c r="E18" s="18">
        <v>9749543529</v>
      </c>
      <c r="F18" s="28">
        <v>1200</v>
      </c>
      <c r="G18" s="32">
        <v>45792</v>
      </c>
      <c r="H18" s="28">
        <v>1200</v>
      </c>
      <c r="I18" s="32">
        <v>45823</v>
      </c>
      <c r="J18" s="28">
        <v>1300</v>
      </c>
      <c r="K18" s="32">
        <v>45853</v>
      </c>
      <c r="L18" s="28">
        <v>1300</v>
      </c>
      <c r="M18" s="33">
        <v>45884</v>
      </c>
      <c r="N18" s="28">
        <v>1300</v>
      </c>
      <c r="O18" s="33">
        <v>45915</v>
      </c>
      <c r="P18" s="28">
        <v>1300</v>
      </c>
      <c r="Q18" s="33">
        <v>45945</v>
      </c>
      <c r="R18" s="28">
        <v>1500</v>
      </c>
      <c r="S18" s="1"/>
      <c r="T18" s="28">
        <v>1500</v>
      </c>
      <c r="U18" s="1"/>
      <c r="V18" s="28">
        <v>1500</v>
      </c>
      <c r="W18" s="1"/>
      <c r="X18" s="73">
        <v>1500</v>
      </c>
      <c r="Y18" s="1"/>
      <c r="Z18" s="73">
        <v>1500</v>
      </c>
      <c r="AA18" s="1"/>
      <c r="AB18" s="73">
        <v>1500</v>
      </c>
      <c r="AC18" s="1"/>
      <c r="AD18" s="73">
        <v>1500</v>
      </c>
      <c r="AE18" s="1"/>
      <c r="AF18" s="73">
        <v>1500</v>
      </c>
      <c r="AG18" s="1"/>
      <c r="AH18" s="1"/>
    </row>
    <row r="19" spans="1:34" ht="26.25" customHeight="1">
      <c r="A19" s="14">
        <v>13</v>
      </c>
      <c r="B19" s="15" t="s">
        <v>46</v>
      </c>
      <c r="C19" s="16" t="s">
        <v>47</v>
      </c>
      <c r="D19" s="17">
        <v>2</v>
      </c>
      <c r="E19" s="18">
        <v>7001420328</v>
      </c>
      <c r="F19" s="28">
        <v>1200</v>
      </c>
      <c r="G19" s="32">
        <v>45792</v>
      </c>
      <c r="H19" s="28">
        <v>1200</v>
      </c>
      <c r="I19" s="32">
        <v>45823</v>
      </c>
      <c r="J19" s="28">
        <v>1000</v>
      </c>
      <c r="K19" s="32">
        <v>45853</v>
      </c>
      <c r="L19" s="28">
        <v>1000</v>
      </c>
      <c r="M19" s="33">
        <v>45884</v>
      </c>
      <c r="N19" s="28">
        <v>1000</v>
      </c>
      <c r="O19" s="33">
        <v>45915</v>
      </c>
      <c r="P19" s="28">
        <v>1000</v>
      </c>
      <c r="Q19" s="33">
        <v>45945</v>
      </c>
      <c r="R19" s="28">
        <v>1200</v>
      </c>
      <c r="S19" s="75">
        <v>45938</v>
      </c>
      <c r="T19" s="28">
        <v>1200</v>
      </c>
      <c r="U19" s="1"/>
      <c r="V19" s="28">
        <v>1200</v>
      </c>
      <c r="W19" s="1"/>
      <c r="X19" s="73">
        <v>1200</v>
      </c>
      <c r="Y19" s="1"/>
      <c r="Z19" s="73">
        <v>1200</v>
      </c>
      <c r="AA19" s="1"/>
      <c r="AB19" s="73">
        <v>1200</v>
      </c>
      <c r="AC19" s="1"/>
      <c r="AD19" s="73">
        <v>1200</v>
      </c>
      <c r="AE19" s="1"/>
      <c r="AF19" s="73">
        <v>1200</v>
      </c>
      <c r="AG19" s="1"/>
      <c r="AH19" s="1"/>
    </row>
    <row r="20" spans="1:34" s="42" customFormat="1" ht="26.25" customHeight="1">
      <c r="A20" s="34">
        <v>14</v>
      </c>
      <c r="B20" s="35"/>
      <c r="C20" s="36" t="s">
        <v>48</v>
      </c>
      <c r="D20" s="37"/>
      <c r="E20" s="38"/>
      <c r="F20" s="39"/>
      <c r="G20" s="39"/>
      <c r="H20" s="39"/>
      <c r="I20" s="39"/>
      <c r="J20" s="50"/>
      <c r="K20" s="39"/>
      <c r="L20" s="50"/>
      <c r="M20" s="40"/>
      <c r="N20" s="52"/>
      <c r="O20" s="40"/>
      <c r="P20" s="55"/>
      <c r="Q20" s="41"/>
      <c r="R20" s="28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 spans="1:34" ht="26.25" customHeight="1">
      <c r="A21" s="161" t="s">
        <v>6</v>
      </c>
      <c r="B21" s="162"/>
      <c r="C21" s="162"/>
      <c r="D21" s="162"/>
      <c r="E21" s="163"/>
      <c r="F21" s="161"/>
      <c r="G21" s="162"/>
      <c r="H21" s="162"/>
      <c r="I21" s="162"/>
      <c r="J21" s="163"/>
      <c r="K21" s="161"/>
      <c r="L21" s="162"/>
      <c r="M21" s="162"/>
      <c r="N21" s="162"/>
      <c r="O21" s="163"/>
      <c r="P21" s="161"/>
      <c r="Q21" s="162"/>
      <c r="R21" s="162"/>
      <c r="S21" s="162"/>
      <c r="T21" s="163"/>
      <c r="U21" s="161"/>
      <c r="V21" s="162"/>
      <c r="W21" s="162"/>
      <c r="X21" s="162"/>
      <c r="Y21" s="163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26.25" customHeight="1">
      <c r="A22" s="14">
        <v>15</v>
      </c>
      <c r="B22" s="15" t="s">
        <v>49</v>
      </c>
      <c r="C22" s="16" t="s">
        <v>50</v>
      </c>
      <c r="D22" s="17">
        <v>3</v>
      </c>
      <c r="E22" s="18">
        <v>8918008545</v>
      </c>
      <c r="F22" s="28">
        <v>1200</v>
      </c>
      <c r="G22" s="32">
        <v>45792</v>
      </c>
      <c r="H22" s="28">
        <v>1200</v>
      </c>
      <c r="I22" s="32">
        <v>45823</v>
      </c>
      <c r="J22" s="28">
        <v>1300</v>
      </c>
      <c r="K22" s="32">
        <v>45853</v>
      </c>
      <c r="L22" s="28">
        <v>1300</v>
      </c>
      <c r="M22" s="33">
        <v>45884</v>
      </c>
      <c r="N22" s="51">
        <v>1300</v>
      </c>
      <c r="O22" s="33">
        <v>45915</v>
      </c>
      <c r="P22" s="51">
        <v>1300</v>
      </c>
      <c r="Q22" s="33">
        <v>45945</v>
      </c>
      <c r="R22" s="28">
        <v>1500</v>
      </c>
      <c r="S22" s="1"/>
      <c r="T22" s="28">
        <v>1500</v>
      </c>
      <c r="U22" s="1"/>
      <c r="V22" s="28">
        <v>1500</v>
      </c>
      <c r="W22" s="1"/>
      <c r="X22" s="28">
        <v>1500</v>
      </c>
      <c r="Y22" s="1"/>
      <c r="Z22" s="28">
        <v>1500</v>
      </c>
      <c r="AA22" s="1"/>
      <c r="AB22" s="28">
        <v>1500</v>
      </c>
      <c r="AC22" s="1"/>
      <c r="AD22" s="28">
        <v>1500</v>
      </c>
      <c r="AE22" s="1"/>
      <c r="AF22" s="28">
        <v>1500</v>
      </c>
      <c r="AG22" s="1"/>
      <c r="AH22" s="1"/>
    </row>
    <row r="23" spans="1:34" ht="26.25" customHeight="1">
      <c r="A23" s="14">
        <v>16</v>
      </c>
      <c r="B23" s="15" t="s">
        <v>51</v>
      </c>
      <c r="C23" s="16" t="s">
        <v>52</v>
      </c>
      <c r="D23" s="17">
        <v>3</v>
      </c>
      <c r="E23" s="18">
        <v>8967856644</v>
      </c>
      <c r="F23" s="28">
        <v>1200</v>
      </c>
      <c r="G23" s="32">
        <v>45792</v>
      </c>
      <c r="H23" s="28">
        <v>1200</v>
      </c>
      <c r="I23" s="32">
        <v>45823</v>
      </c>
      <c r="J23" s="28">
        <v>1300</v>
      </c>
      <c r="K23" s="32">
        <v>45853</v>
      </c>
      <c r="L23" s="28">
        <v>1300</v>
      </c>
      <c r="M23" s="33">
        <v>45884</v>
      </c>
      <c r="N23" s="51">
        <v>1300</v>
      </c>
      <c r="O23" s="33">
        <v>45915</v>
      </c>
      <c r="P23" s="51">
        <v>1300</v>
      </c>
      <c r="Q23" s="33">
        <v>45945</v>
      </c>
      <c r="R23" s="28">
        <v>1500</v>
      </c>
      <c r="S23" s="1"/>
      <c r="T23" s="28">
        <v>1500</v>
      </c>
      <c r="U23" s="1"/>
      <c r="V23" s="28">
        <v>1500</v>
      </c>
      <c r="W23" s="1"/>
      <c r="X23" s="28">
        <v>1500</v>
      </c>
      <c r="Y23" s="1"/>
      <c r="Z23" s="28">
        <v>1500</v>
      </c>
      <c r="AA23" s="1"/>
      <c r="AB23" s="28">
        <v>1500</v>
      </c>
      <c r="AC23" s="1"/>
      <c r="AD23" s="28">
        <v>1500</v>
      </c>
      <c r="AE23" s="1"/>
      <c r="AF23" s="28">
        <v>1500</v>
      </c>
      <c r="AG23" s="1"/>
      <c r="AH23" s="1"/>
    </row>
    <row r="24" spans="1:34" ht="26.25" customHeight="1">
      <c r="A24" s="14">
        <v>17</v>
      </c>
      <c r="B24" s="15" t="s">
        <v>53</v>
      </c>
      <c r="C24" s="16" t="s">
        <v>54</v>
      </c>
      <c r="D24" s="17">
        <v>2</v>
      </c>
      <c r="E24" s="18">
        <v>8436193278</v>
      </c>
      <c r="F24" s="28">
        <v>1200</v>
      </c>
      <c r="G24" s="32">
        <v>45792</v>
      </c>
      <c r="H24" s="28">
        <v>1200</v>
      </c>
      <c r="I24" s="32">
        <v>45823</v>
      </c>
      <c r="J24" s="28">
        <v>1000</v>
      </c>
      <c r="K24" s="32">
        <v>45853</v>
      </c>
      <c r="L24" s="28">
        <v>1000</v>
      </c>
      <c r="M24" s="33">
        <v>45884</v>
      </c>
      <c r="N24" s="51">
        <v>1000</v>
      </c>
      <c r="O24" s="33">
        <v>45915</v>
      </c>
      <c r="P24" s="51">
        <v>1000</v>
      </c>
      <c r="Q24" s="33">
        <v>45945</v>
      </c>
      <c r="R24" s="28">
        <v>1200</v>
      </c>
      <c r="S24" s="1"/>
      <c r="T24" s="28">
        <v>1200</v>
      </c>
      <c r="U24" s="1"/>
      <c r="V24" s="28">
        <v>1200</v>
      </c>
      <c r="W24" s="1"/>
      <c r="X24" s="28">
        <v>1200</v>
      </c>
      <c r="Y24" s="1"/>
      <c r="Z24" s="28">
        <v>1200</v>
      </c>
      <c r="AA24" s="1"/>
      <c r="AB24" s="28">
        <v>1200</v>
      </c>
      <c r="AC24" s="1"/>
      <c r="AD24" s="28">
        <v>1200</v>
      </c>
      <c r="AE24" s="1"/>
      <c r="AF24" s="28">
        <v>1200</v>
      </c>
      <c r="AG24" s="1"/>
      <c r="AH24" s="1"/>
    </row>
    <row r="25" spans="1:34" s="42" customFormat="1" ht="26.25" customHeight="1">
      <c r="A25" s="34">
        <v>18</v>
      </c>
      <c r="B25" s="35"/>
      <c r="C25" s="36" t="s">
        <v>55</v>
      </c>
      <c r="D25" s="37"/>
      <c r="E25" s="38"/>
      <c r="F25" s="39"/>
      <c r="G25" s="39"/>
      <c r="H25" s="39"/>
      <c r="I25" s="39"/>
      <c r="J25" s="50"/>
      <c r="K25" s="39"/>
      <c r="L25" s="50"/>
      <c r="M25" s="40"/>
      <c r="N25" s="52"/>
      <c r="O25" s="40"/>
      <c r="P25" s="55"/>
      <c r="Q25" s="41"/>
      <c r="R25" s="28"/>
      <c r="S25" s="41"/>
      <c r="T25" s="28"/>
      <c r="U25" s="41"/>
      <c r="V25" s="28"/>
      <c r="W25" s="41"/>
      <c r="X25" s="28"/>
      <c r="Y25" s="41"/>
      <c r="Z25" s="28"/>
      <c r="AA25" s="41"/>
      <c r="AB25" s="41"/>
      <c r="AC25" s="41"/>
      <c r="AD25" s="41"/>
      <c r="AE25" s="41"/>
      <c r="AF25" s="41"/>
      <c r="AG25" s="41"/>
      <c r="AH25" s="41"/>
    </row>
    <row r="26" spans="1:34" s="42" customFormat="1" ht="26.25" customHeight="1">
      <c r="A26" s="34">
        <v>19</v>
      </c>
      <c r="B26" s="35"/>
      <c r="C26" s="36" t="s">
        <v>56</v>
      </c>
      <c r="D26" s="37"/>
      <c r="E26" s="38"/>
      <c r="F26" s="39"/>
      <c r="G26" s="39"/>
      <c r="H26" s="39"/>
      <c r="I26" s="39"/>
      <c r="J26" s="50"/>
      <c r="K26" s="39"/>
      <c r="L26" s="50"/>
      <c r="M26" s="40"/>
      <c r="N26" s="52"/>
      <c r="O26" s="40"/>
      <c r="P26" s="55"/>
      <c r="Q26" s="41"/>
      <c r="R26" s="28"/>
      <c r="S26" s="41"/>
      <c r="T26" s="28"/>
      <c r="U26" s="41"/>
      <c r="V26" s="28"/>
      <c r="W26" s="41"/>
      <c r="X26" s="28"/>
      <c r="Y26" s="41"/>
      <c r="Z26" s="28"/>
      <c r="AA26" s="41"/>
      <c r="AB26" s="41"/>
      <c r="AC26" s="41"/>
      <c r="AD26" s="41"/>
      <c r="AE26" s="41"/>
      <c r="AF26" s="41"/>
      <c r="AG26" s="41"/>
      <c r="AH26" s="41"/>
    </row>
    <row r="27" spans="1:34" ht="26.25" customHeight="1">
      <c r="A27" s="14">
        <v>20</v>
      </c>
      <c r="B27" s="15" t="s">
        <v>57</v>
      </c>
      <c r="C27" s="16" t="s">
        <v>58</v>
      </c>
      <c r="D27" s="17">
        <v>3</v>
      </c>
      <c r="E27" s="18">
        <v>9474039781</v>
      </c>
      <c r="F27" s="28">
        <v>1200</v>
      </c>
      <c r="G27" s="32">
        <v>45792</v>
      </c>
      <c r="H27" s="28">
        <v>1200</v>
      </c>
      <c r="I27" s="32">
        <v>45823</v>
      </c>
      <c r="J27" s="28">
        <v>1300</v>
      </c>
      <c r="K27" s="32">
        <v>45853</v>
      </c>
      <c r="L27" s="28">
        <v>1300</v>
      </c>
      <c r="M27" s="33">
        <v>45884</v>
      </c>
      <c r="N27" s="51">
        <v>1300</v>
      </c>
      <c r="O27" s="33">
        <v>45915</v>
      </c>
      <c r="P27" s="51">
        <v>1300</v>
      </c>
      <c r="Q27" s="33">
        <v>45945</v>
      </c>
      <c r="R27" s="28">
        <v>1500</v>
      </c>
      <c r="S27" s="1"/>
      <c r="T27" s="28">
        <v>1500</v>
      </c>
      <c r="U27" s="1"/>
      <c r="V27" s="28">
        <v>1500</v>
      </c>
      <c r="W27" s="1"/>
      <c r="X27" s="28">
        <v>1500</v>
      </c>
      <c r="Y27" s="1"/>
      <c r="Z27" s="28">
        <v>1500</v>
      </c>
      <c r="AA27" s="1"/>
      <c r="AB27" s="28">
        <v>1500</v>
      </c>
      <c r="AC27" s="1"/>
      <c r="AD27" s="28">
        <v>1500</v>
      </c>
      <c r="AE27" s="1"/>
      <c r="AF27" s="28">
        <v>1500</v>
      </c>
      <c r="AG27" s="1"/>
      <c r="AH27" s="1"/>
    </row>
    <row r="28" spans="1:34" ht="26.25" customHeight="1">
      <c r="A28" s="14">
        <v>21</v>
      </c>
      <c r="B28" s="15" t="s">
        <v>59</v>
      </c>
      <c r="C28" s="16" t="s">
        <v>60</v>
      </c>
      <c r="D28" s="17">
        <v>2</v>
      </c>
      <c r="E28" s="18">
        <v>8789747535</v>
      </c>
      <c r="F28" s="28">
        <v>1200</v>
      </c>
      <c r="G28" s="32">
        <v>45792</v>
      </c>
      <c r="H28" s="28">
        <v>1200</v>
      </c>
      <c r="I28" s="32">
        <v>45823</v>
      </c>
      <c r="J28" s="28">
        <v>1000</v>
      </c>
      <c r="K28" s="32">
        <v>45853</v>
      </c>
      <c r="L28" s="28">
        <v>1000</v>
      </c>
      <c r="M28" s="33">
        <v>45884</v>
      </c>
      <c r="N28" s="28">
        <v>1000</v>
      </c>
      <c r="O28" s="33">
        <v>45915</v>
      </c>
      <c r="P28" s="28">
        <v>1000</v>
      </c>
      <c r="Q28" s="33">
        <v>45945</v>
      </c>
      <c r="R28" s="28">
        <v>1200</v>
      </c>
      <c r="S28" s="1"/>
      <c r="T28" s="28">
        <v>1200</v>
      </c>
      <c r="U28" s="1"/>
      <c r="V28" s="28">
        <v>1200</v>
      </c>
      <c r="W28" s="1"/>
      <c r="X28" s="28">
        <v>1200</v>
      </c>
      <c r="Y28" s="1"/>
      <c r="Z28" s="28">
        <v>1200</v>
      </c>
      <c r="AA28" s="1"/>
      <c r="AB28" s="28">
        <v>1200</v>
      </c>
      <c r="AC28" s="1"/>
      <c r="AD28" s="28">
        <v>1200</v>
      </c>
      <c r="AE28" s="1"/>
      <c r="AF28" s="28">
        <v>1200</v>
      </c>
      <c r="AG28" s="1"/>
      <c r="AH28" s="1"/>
    </row>
    <row r="29" spans="1:34" ht="26.25" customHeight="1">
      <c r="A29" s="14">
        <v>22</v>
      </c>
      <c r="B29" s="15" t="s">
        <v>61</v>
      </c>
      <c r="C29" s="16" t="s">
        <v>62</v>
      </c>
      <c r="D29" s="17">
        <v>2</v>
      </c>
      <c r="E29" s="18">
        <v>9732006006</v>
      </c>
      <c r="F29" s="28">
        <v>1200</v>
      </c>
      <c r="G29" s="32">
        <v>45792</v>
      </c>
      <c r="H29" s="28">
        <v>1200</v>
      </c>
      <c r="I29" s="32">
        <v>45823</v>
      </c>
      <c r="J29" s="28">
        <v>1000</v>
      </c>
      <c r="K29" s="32">
        <v>45853</v>
      </c>
      <c r="L29" s="28">
        <v>1000</v>
      </c>
      <c r="M29" s="33">
        <v>45884</v>
      </c>
      <c r="N29" s="28">
        <v>1000</v>
      </c>
      <c r="O29" s="33">
        <v>45915</v>
      </c>
      <c r="P29" s="28">
        <v>1000</v>
      </c>
      <c r="Q29" s="33">
        <v>45945</v>
      </c>
      <c r="R29" s="28">
        <v>1200</v>
      </c>
      <c r="S29" s="1"/>
      <c r="T29" s="28">
        <v>1200</v>
      </c>
      <c r="U29" s="1"/>
      <c r="V29" s="28">
        <v>1200</v>
      </c>
      <c r="W29" s="1"/>
      <c r="X29" s="28">
        <v>1200</v>
      </c>
      <c r="Y29" s="1"/>
      <c r="Z29" s="28">
        <v>1200</v>
      </c>
      <c r="AA29" s="1"/>
      <c r="AB29" s="28">
        <v>1200</v>
      </c>
      <c r="AC29" s="1"/>
      <c r="AD29" s="28">
        <v>1200</v>
      </c>
      <c r="AE29" s="1"/>
      <c r="AF29" s="28">
        <v>1200</v>
      </c>
      <c r="AG29" s="1"/>
      <c r="AH29" s="1"/>
    </row>
    <row r="30" spans="1:34" ht="26.25" customHeight="1">
      <c r="A30" s="161" t="s">
        <v>7</v>
      </c>
      <c r="B30" s="162"/>
      <c r="C30" s="162"/>
      <c r="D30" s="162"/>
      <c r="E30" s="163"/>
      <c r="F30" s="161"/>
      <c r="G30" s="162"/>
      <c r="H30" s="162"/>
      <c r="I30" s="162"/>
      <c r="J30" s="163"/>
      <c r="K30" s="161"/>
      <c r="L30" s="162"/>
      <c r="M30" s="162"/>
      <c r="N30" s="162"/>
      <c r="O30" s="163"/>
      <c r="P30" s="161"/>
      <c r="Q30" s="162"/>
      <c r="R30" s="162"/>
      <c r="S30" s="162"/>
      <c r="T30" s="163"/>
      <c r="U30" s="161"/>
      <c r="V30" s="162"/>
      <c r="W30" s="162"/>
      <c r="X30" s="162"/>
      <c r="Y30" s="163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26.25" customHeight="1">
      <c r="A31" s="14">
        <v>23</v>
      </c>
      <c r="B31" s="15" t="s">
        <v>63</v>
      </c>
      <c r="C31" s="16" t="s">
        <v>64</v>
      </c>
      <c r="D31" s="17">
        <v>3</v>
      </c>
      <c r="E31" s="18">
        <v>8927777001</v>
      </c>
      <c r="F31" s="28">
        <v>1200</v>
      </c>
      <c r="G31" s="32">
        <v>45792</v>
      </c>
      <c r="H31" s="28">
        <v>1200</v>
      </c>
      <c r="I31" s="32">
        <v>45823</v>
      </c>
      <c r="J31" s="28">
        <v>1300</v>
      </c>
      <c r="K31" s="32">
        <v>45853</v>
      </c>
      <c r="L31" s="28">
        <v>1300</v>
      </c>
      <c r="M31" s="33">
        <v>45884</v>
      </c>
      <c r="N31" s="51">
        <v>1300</v>
      </c>
      <c r="O31" s="33">
        <v>45915</v>
      </c>
      <c r="P31" s="51">
        <v>1300</v>
      </c>
      <c r="Q31" s="33">
        <v>45945</v>
      </c>
      <c r="R31" s="28">
        <v>1500</v>
      </c>
      <c r="S31" s="1"/>
      <c r="T31" s="28">
        <v>1500</v>
      </c>
      <c r="U31" s="1"/>
      <c r="V31" s="28">
        <v>1500</v>
      </c>
      <c r="W31" s="1"/>
      <c r="X31" s="28">
        <v>1500</v>
      </c>
      <c r="Y31" s="1"/>
      <c r="Z31" s="28">
        <v>1500</v>
      </c>
      <c r="AA31" s="1"/>
      <c r="AB31" s="28">
        <v>1500</v>
      </c>
      <c r="AC31" s="1"/>
      <c r="AD31" s="28">
        <v>1500</v>
      </c>
      <c r="AE31" s="1"/>
      <c r="AF31" s="28">
        <v>1500</v>
      </c>
      <c r="AG31" s="1"/>
      <c r="AH31" s="1"/>
    </row>
    <row r="32" spans="1:34" ht="26.25" customHeight="1">
      <c r="A32" s="14">
        <v>24</v>
      </c>
      <c r="B32" s="15" t="s">
        <v>65</v>
      </c>
      <c r="C32" s="16" t="s">
        <v>66</v>
      </c>
      <c r="D32" s="17">
        <v>3</v>
      </c>
      <c r="E32" s="21" t="s">
        <v>126</v>
      </c>
      <c r="F32" s="28">
        <v>1200</v>
      </c>
      <c r="G32" s="32">
        <v>45792</v>
      </c>
      <c r="H32" s="28">
        <v>1200</v>
      </c>
      <c r="I32" s="32">
        <v>45823</v>
      </c>
      <c r="J32" s="28">
        <v>1300</v>
      </c>
      <c r="K32" s="32">
        <v>45853</v>
      </c>
      <c r="L32" s="28">
        <v>1300</v>
      </c>
      <c r="M32" s="33">
        <v>45884</v>
      </c>
      <c r="N32" s="51">
        <v>1300</v>
      </c>
      <c r="O32" s="33">
        <v>45915</v>
      </c>
      <c r="P32" s="51">
        <v>1300</v>
      </c>
      <c r="Q32" s="33">
        <v>45945</v>
      </c>
      <c r="R32" s="28">
        <v>1500</v>
      </c>
      <c r="S32" s="1"/>
      <c r="T32" s="28">
        <v>1500</v>
      </c>
      <c r="U32" s="1"/>
      <c r="V32" s="28">
        <v>1500</v>
      </c>
      <c r="W32" s="1"/>
      <c r="X32" s="28">
        <v>1500</v>
      </c>
      <c r="Y32" s="1"/>
      <c r="Z32" s="28">
        <v>1500</v>
      </c>
      <c r="AA32" s="1"/>
      <c r="AB32" s="28">
        <v>1500</v>
      </c>
      <c r="AC32" s="1"/>
      <c r="AD32" s="28">
        <v>1500</v>
      </c>
      <c r="AE32" s="1"/>
      <c r="AF32" s="28">
        <v>1500</v>
      </c>
      <c r="AG32" s="1"/>
      <c r="AH32" s="1"/>
    </row>
    <row r="33" spans="1:34" ht="26.25" customHeight="1">
      <c r="A33" s="14">
        <v>25</v>
      </c>
      <c r="B33" s="15" t="s">
        <v>67</v>
      </c>
      <c r="C33" s="16" t="s">
        <v>68</v>
      </c>
      <c r="D33" s="17">
        <v>2</v>
      </c>
      <c r="E33" s="18">
        <v>9775033283</v>
      </c>
      <c r="F33" s="28">
        <v>1200</v>
      </c>
      <c r="G33" s="32">
        <v>45792</v>
      </c>
      <c r="H33" s="28">
        <v>1200</v>
      </c>
      <c r="I33" s="32">
        <v>45823</v>
      </c>
      <c r="J33" s="28">
        <v>1000</v>
      </c>
      <c r="K33" s="32">
        <v>45853</v>
      </c>
      <c r="L33" s="28">
        <v>1000</v>
      </c>
      <c r="M33" s="33">
        <v>45884</v>
      </c>
      <c r="N33" s="51">
        <v>1000</v>
      </c>
      <c r="O33" s="33">
        <v>45915</v>
      </c>
      <c r="P33" s="51">
        <v>1000</v>
      </c>
      <c r="Q33" s="33">
        <v>45945</v>
      </c>
      <c r="R33" s="28">
        <v>1200</v>
      </c>
      <c r="S33" s="1"/>
      <c r="T33" s="28">
        <v>1200</v>
      </c>
      <c r="U33" s="1"/>
      <c r="V33" s="28">
        <v>1200</v>
      </c>
      <c r="W33" s="1"/>
      <c r="X33" s="28">
        <v>1200</v>
      </c>
      <c r="Y33" s="1"/>
      <c r="Z33" s="28">
        <v>1200</v>
      </c>
      <c r="AA33" s="1"/>
      <c r="AB33" s="28">
        <v>1200</v>
      </c>
      <c r="AC33" s="1"/>
      <c r="AD33" s="28">
        <v>1200</v>
      </c>
      <c r="AE33" s="1"/>
      <c r="AF33" s="28">
        <v>1200</v>
      </c>
      <c r="AG33" s="1"/>
      <c r="AH33" s="1"/>
    </row>
    <row r="34" spans="1:34" s="42" customFormat="1" ht="26.25" customHeight="1">
      <c r="A34" s="34">
        <v>26</v>
      </c>
      <c r="B34" s="35"/>
      <c r="C34" s="36" t="s">
        <v>69</v>
      </c>
      <c r="D34" s="37"/>
      <c r="E34" s="38"/>
      <c r="F34" s="39"/>
      <c r="G34" s="39"/>
      <c r="H34" s="39"/>
      <c r="I34" s="39"/>
      <c r="J34" s="50"/>
      <c r="K34" s="39"/>
      <c r="L34" s="50"/>
      <c r="M34" s="40"/>
      <c r="N34" s="52"/>
      <c r="O34" s="40"/>
      <c r="P34" s="55"/>
      <c r="Q34" s="41"/>
      <c r="R34" s="28"/>
      <c r="S34" s="41"/>
      <c r="T34" s="41"/>
      <c r="U34" s="41"/>
      <c r="V34" s="28"/>
      <c r="W34" s="41"/>
      <c r="X34" s="28"/>
      <c r="Y34" s="41"/>
      <c r="Z34" s="28"/>
      <c r="AA34" s="41"/>
      <c r="AB34" s="41"/>
      <c r="AC34" s="41"/>
      <c r="AD34" s="41"/>
      <c r="AE34" s="41"/>
      <c r="AF34" s="41"/>
      <c r="AG34" s="41"/>
      <c r="AH34" s="41"/>
    </row>
    <row r="35" spans="1:34" ht="26.25" customHeight="1">
      <c r="A35" s="14">
        <v>27</v>
      </c>
      <c r="B35" s="15" t="s">
        <v>70</v>
      </c>
      <c r="C35" s="16" t="s">
        <v>71</v>
      </c>
      <c r="D35" s="17">
        <v>3</v>
      </c>
      <c r="E35" s="18">
        <v>9007993440</v>
      </c>
      <c r="F35" s="28">
        <v>1200</v>
      </c>
      <c r="G35" s="32">
        <v>45792</v>
      </c>
      <c r="H35" s="27">
        <v>1200</v>
      </c>
      <c r="I35" s="32">
        <v>45823</v>
      </c>
      <c r="J35" s="28">
        <v>1300</v>
      </c>
      <c r="K35" s="32">
        <v>45853</v>
      </c>
      <c r="L35" s="28">
        <v>1300</v>
      </c>
      <c r="M35" s="33">
        <v>45884</v>
      </c>
      <c r="N35" s="51">
        <v>1300</v>
      </c>
      <c r="O35" s="33">
        <v>45915</v>
      </c>
      <c r="P35" s="51">
        <v>1300</v>
      </c>
      <c r="Q35" s="33">
        <v>45945</v>
      </c>
      <c r="R35" s="28">
        <v>1500</v>
      </c>
      <c r="S35" s="1"/>
      <c r="T35" s="28">
        <v>1500</v>
      </c>
      <c r="U35" s="1"/>
      <c r="V35" s="28">
        <v>1500</v>
      </c>
      <c r="W35" s="1"/>
      <c r="X35" s="28">
        <v>1500</v>
      </c>
      <c r="Y35" s="1"/>
      <c r="Z35" s="28">
        <v>1500</v>
      </c>
      <c r="AA35" s="1"/>
      <c r="AB35" s="28">
        <v>1500</v>
      </c>
      <c r="AC35" s="1"/>
      <c r="AD35" s="28">
        <v>1500</v>
      </c>
      <c r="AE35" s="1"/>
      <c r="AF35" s="28">
        <v>1500</v>
      </c>
      <c r="AG35" s="1"/>
      <c r="AH35" s="1"/>
    </row>
    <row r="36" spans="1:34" ht="26.25" customHeight="1">
      <c r="A36" s="14">
        <v>28</v>
      </c>
      <c r="B36" s="15" t="s">
        <v>72</v>
      </c>
      <c r="C36" s="16" t="s">
        <v>73</v>
      </c>
      <c r="D36" s="17">
        <v>3</v>
      </c>
      <c r="E36" s="18">
        <v>9851121248</v>
      </c>
      <c r="F36" s="28">
        <v>1200</v>
      </c>
      <c r="G36" s="32">
        <v>45792</v>
      </c>
      <c r="H36" s="27">
        <v>1200</v>
      </c>
      <c r="I36" s="32">
        <v>45823</v>
      </c>
      <c r="J36" s="28">
        <v>1300</v>
      </c>
      <c r="K36" s="32">
        <v>45853</v>
      </c>
      <c r="L36" s="28">
        <v>1300</v>
      </c>
      <c r="M36" s="33">
        <v>45884</v>
      </c>
      <c r="N36" s="51">
        <v>1300</v>
      </c>
      <c r="O36" s="33">
        <v>45915</v>
      </c>
      <c r="P36" s="51">
        <v>1300</v>
      </c>
      <c r="Q36" s="33">
        <v>45945</v>
      </c>
      <c r="R36" s="28">
        <v>1500</v>
      </c>
      <c r="S36" s="1"/>
      <c r="T36" s="28">
        <v>1500</v>
      </c>
      <c r="U36" s="1"/>
      <c r="V36" s="28">
        <v>1500</v>
      </c>
      <c r="W36" s="1"/>
      <c r="X36" s="28">
        <v>1500</v>
      </c>
      <c r="Y36" s="1"/>
      <c r="Z36" s="28">
        <v>1500</v>
      </c>
      <c r="AA36" s="1"/>
      <c r="AB36" s="28">
        <v>1500</v>
      </c>
      <c r="AC36" s="1"/>
      <c r="AD36" s="28">
        <v>1500</v>
      </c>
      <c r="AE36" s="1"/>
      <c r="AF36" s="28">
        <v>1500</v>
      </c>
      <c r="AG36" s="1"/>
      <c r="AH36" s="1"/>
    </row>
    <row r="37" spans="1:34" ht="26.25" customHeight="1">
      <c r="A37" s="14">
        <v>29</v>
      </c>
      <c r="B37" s="15" t="s">
        <v>74</v>
      </c>
      <c r="C37" s="16" t="s">
        <v>75</v>
      </c>
      <c r="D37" s="17">
        <v>2</v>
      </c>
      <c r="E37" s="18">
        <v>7908578532</v>
      </c>
      <c r="F37" s="28">
        <v>1200</v>
      </c>
      <c r="G37" s="32">
        <v>45792</v>
      </c>
      <c r="H37" s="27">
        <v>1200</v>
      </c>
      <c r="I37" s="32">
        <v>45823</v>
      </c>
      <c r="J37" s="28">
        <v>1000</v>
      </c>
      <c r="K37" s="32">
        <v>45853</v>
      </c>
      <c r="L37" s="28">
        <v>1000</v>
      </c>
      <c r="M37" s="33">
        <v>45884</v>
      </c>
      <c r="N37" s="51">
        <v>1000</v>
      </c>
      <c r="O37" s="33">
        <v>45915</v>
      </c>
      <c r="P37" s="51">
        <v>1000</v>
      </c>
      <c r="Q37" s="33">
        <v>45945</v>
      </c>
      <c r="R37" s="28">
        <v>1200</v>
      </c>
      <c r="S37" s="1"/>
      <c r="T37" s="28">
        <v>1200</v>
      </c>
      <c r="U37" s="1"/>
      <c r="V37" s="28">
        <v>1200</v>
      </c>
      <c r="W37" s="1"/>
      <c r="X37" s="28">
        <v>1200</v>
      </c>
      <c r="Y37" s="1"/>
      <c r="Z37" s="28">
        <v>1200</v>
      </c>
      <c r="AA37" s="1"/>
      <c r="AB37" s="28">
        <v>1200</v>
      </c>
      <c r="AC37" s="1"/>
      <c r="AD37" s="28">
        <v>1200</v>
      </c>
      <c r="AE37" s="1"/>
      <c r="AF37" s="28">
        <v>1200</v>
      </c>
      <c r="AG37" s="1"/>
      <c r="AH37" s="1"/>
    </row>
    <row r="38" spans="1:34" ht="26.25" customHeight="1">
      <c r="A38" s="14">
        <v>30</v>
      </c>
      <c r="B38" s="15" t="s">
        <v>76</v>
      </c>
      <c r="C38" s="16" t="s">
        <v>77</v>
      </c>
      <c r="D38" s="17">
        <v>2</v>
      </c>
      <c r="E38" s="18">
        <v>8637853169</v>
      </c>
      <c r="F38" s="28">
        <v>1200</v>
      </c>
      <c r="G38" s="32">
        <v>45792</v>
      </c>
      <c r="H38" s="27">
        <v>1200</v>
      </c>
      <c r="I38" s="32">
        <v>45823</v>
      </c>
      <c r="J38" s="28">
        <v>1000</v>
      </c>
      <c r="K38" s="32">
        <v>45853</v>
      </c>
      <c r="L38" s="28">
        <v>1000</v>
      </c>
      <c r="M38" s="33">
        <v>45884</v>
      </c>
      <c r="N38" s="51">
        <v>1000</v>
      </c>
      <c r="O38" s="33">
        <v>45915</v>
      </c>
      <c r="P38" s="51">
        <v>1000</v>
      </c>
      <c r="Q38" s="33">
        <v>45945</v>
      </c>
      <c r="R38" s="28">
        <v>1200</v>
      </c>
      <c r="S38" s="1"/>
      <c r="T38" s="28">
        <v>1200</v>
      </c>
      <c r="U38" s="1"/>
      <c r="V38" s="28">
        <v>1200</v>
      </c>
      <c r="W38" s="1"/>
      <c r="X38" s="28">
        <v>1200</v>
      </c>
      <c r="Y38" s="1"/>
      <c r="Z38" s="28">
        <v>1200</v>
      </c>
      <c r="AA38" s="1"/>
      <c r="AB38" s="28">
        <v>1200</v>
      </c>
      <c r="AC38" s="1"/>
      <c r="AD38" s="28">
        <v>1200</v>
      </c>
      <c r="AE38" s="1"/>
      <c r="AF38" s="28">
        <v>1200</v>
      </c>
      <c r="AG38" s="1"/>
      <c r="AH38" s="1"/>
    </row>
    <row r="39" spans="1:34" ht="26.25" customHeight="1">
      <c r="A39" s="161" t="s">
        <v>8</v>
      </c>
      <c r="B39" s="162"/>
      <c r="C39" s="162"/>
      <c r="D39" s="162"/>
      <c r="E39" s="163"/>
      <c r="F39" s="161"/>
      <c r="G39" s="162"/>
      <c r="H39" s="162"/>
      <c r="I39" s="162"/>
      <c r="J39" s="163"/>
      <c r="K39" s="161"/>
      <c r="L39" s="162"/>
      <c r="M39" s="162"/>
      <c r="N39" s="162"/>
      <c r="O39" s="163"/>
      <c r="P39" s="161"/>
      <c r="Q39" s="162"/>
      <c r="R39" s="162"/>
      <c r="S39" s="162"/>
      <c r="T39" s="163"/>
      <c r="U39" s="161"/>
      <c r="V39" s="162"/>
      <c r="W39" s="162"/>
      <c r="X39" s="162"/>
      <c r="Y39" s="163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26.25" customHeight="1">
      <c r="A40" s="14">
        <v>31</v>
      </c>
      <c r="B40" s="15" t="s">
        <v>78</v>
      </c>
      <c r="C40" s="16" t="s">
        <v>79</v>
      </c>
      <c r="D40" s="17">
        <v>3</v>
      </c>
      <c r="E40" s="18">
        <v>9434101485</v>
      </c>
      <c r="F40" s="28">
        <v>1200</v>
      </c>
      <c r="G40" s="32">
        <v>45792</v>
      </c>
      <c r="H40" s="27">
        <v>1200</v>
      </c>
      <c r="I40" s="32">
        <v>45823</v>
      </c>
      <c r="J40" s="28">
        <v>1300</v>
      </c>
      <c r="K40" s="32">
        <v>45853</v>
      </c>
      <c r="L40" s="28">
        <v>1300</v>
      </c>
      <c r="M40" s="33">
        <v>45884</v>
      </c>
      <c r="N40" s="51">
        <v>1300</v>
      </c>
      <c r="O40" s="33">
        <v>45915</v>
      </c>
      <c r="P40" s="51">
        <v>1300</v>
      </c>
      <c r="Q40" s="33">
        <v>45945</v>
      </c>
      <c r="R40" s="28">
        <v>1500</v>
      </c>
      <c r="S40" s="1"/>
      <c r="T40" s="28">
        <v>1500</v>
      </c>
      <c r="U40" s="1"/>
      <c r="V40" s="28">
        <v>1500</v>
      </c>
      <c r="W40" s="1"/>
      <c r="X40" s="28">
        <v>1500</v>
      </c>
      <c r="Y40" s="1"/>
      <c r="Z40" s="28">
        <v>1500</v>
      </c>
      <c r="AA40" s="1"/>
      <c r="AB40" s="28">
        <v>1500</v>
      </c>
      <c r="AC40" s="1"/>
      <c r="AD40" s="28">
        <v>1500</v>
      </c>
      <c r="AE40" s="1"/>
      <c r="AF40" s="28">
        <v>1500</v>
      </c>
      <c r="AG40" s="1"/>
      <c r="AH40" s="1"/>
    </row>
    <row r="41" spans="1:34" s="42" customFormat="1" ht="26.25" customHeight="1">
      <c r="A41" s="34">
        <v>32</v>
      </c>
      <c r="B41" s="71" t="s">
        <v>137</v>
      </c>
      <c r="C41" s="36" t="s">
        <v>80</v>
      </c>
      <c r="D41" s="37">
        <v>3</v>
      </c>
      <c r="E41" s="38">
        <v>8820411025</v>
      </c>
      <c r="F41" s="164" t="s">
        <v>138</v>
      </c>
      <c r="G41" s="165"/>
      <c r="H41" s="165"/>
      <c r="I41" s="165"/>
      <c r="J41" s="165"/>
      <c r="K41" s="165"/>
      <c r="L41" s="165"/>
      <c r="M41" s="166"/>
      <c r="N41" s="51">
        <v>1300</v>
      </c>
      <c r="O41" s="40"/>
      <c r="P41" s="51">
        <v>1300</v>
      </c>
      <c r="Q41" s="41"/>
      <c r="R41" s="28">
        <v>1500</v>
      </c>
      <c r="S41" s="1"/>
      <c r="T41" s="28">
        <v>1500</v>
      </c>
      <c r="U41" s="41"/>
      <c r="V41" s="28">
        <v>1500</v>
      </c>
      <c r="W41" s="41"/>
      <c r="X41" s="28">
        <v>1500</v>
      </c>
      <c r="Y41" s="41"/>
      <c r="Z41" s="28">
        <v>1500</v>
      </c>
      <c r="AA41" s="41"/>
      <c r="AB41" s="28">
        <v>1500</v>
      </c>
      <c r="AC41" s="41"/>
      <c r="AD41" s="28">
        <v>1500</v>
      </c>
      <c r="AE41" s="41"/>
      <c r="AF41" s="28">
        <v>1500</v>
      </c>
      <c r="AG41" s="41"/>
      <c r="AH41" s="41"/>
    </row>
    <row r="42" spans="1:34" ht="26.25" customHeight="1">
      <c r="A42" s="14">
        <v>33</v>
      </c>
      <c r="B42" s="15" t="s">
        <v>81</v>
      </c>
      <c r="C42" s="16" t="s">
        <v>82</v>
      </c>
      <c r="D42" s="17">
        <v>2</v>
      </c>
      <c r="E42" s="18">
        <v>9749449845</v>
      </c>
      <c r="F42" s="28">
        <v>1200</v>
      </c>
      <c r="G42" s="32">
        <v>45792</v>
      </c>
      <c r="H42" s="27">
        <v>1200</v>
      </c>
      <c r="I42" s="32">
        <v>45823</v>
      </c>
      <c r="J42" s="28">
        <v>1000</v>
      </c>
      <c r="K42" s="32">
        <v>45853</v>
      </c>
      <c r="L42" s="28">
        <v>1000</v>
      </c>
      <c r="M42" s="33">
        <v>45884</v>
      </c>
      <c r="N42" s="51">
        <v>1000</v>
      </c>
      <c r="O42" s="33">
        <v>45915</v>
      </c>
      <c r="P42" s="51">
        <v>1000</v>
      </c>
      <c r="Q42" s="33">
        <v>45945</v>
      </c>
      <c r="R42" s="28">
        <v>1200</v>
      </c>
      <c r="S42" s="1"/>
      <c r="T42" s="28">
        <v>1200</v>
      </c>
      <c r="U42" s="1"/>
      <c r="V42" s="28">
        <v>1200</v>
      </c>
      <c r="W42" s="1"/>
      <c r="X42" s="28">
        <v>1200</v>
      </c>
      <c r="Y42" s="1"/>
      <c r="Z42" s="28">
        <v>1200</v>
      </c>
      <c r="AA42" s="1"/>
      <c r="AB42" s="28">
        <v>1200</v>
      </c>
      <c r="AC42" s="1"/>
      <c r="AD42" s="28">
        <v>1200</v>
      </c>
      <c r="AE42" s="1"/>
      <c r="AF42" s="28">
        <v>1200</v>
      </c>
      <c r="AG42" s="1"/>
      <c r="AH42" s="1"/>
    </row>
    <row r="43" spans="1:34" ht="26.25" customHeight="1">
      <c r="A43" s="14">
        <v>34</v>
      </c>
      <c r="B43" s="15" t="s">
        <v>83</v>
      </c>
      <c r="C43" s="16" t="s">
        <v>84</v>
      </c>
      <c r="D43" s="17">
        <v>2</v>
      </c>
      <c r="E43" s="18">
        <v>9735135784</v>
      </c>
      <c r="F43" s="28">
        <v>1200</v>
      </c>
      <c r="G43" s="32">
        <v>45792</v>
      </c>
      <c r="H43" s="27">
        <v>1200</v>
      </c>
      <c r="I43" s="32">
        <v>45823</v>
      </c>
      <c r="J43" s="28">
        <v>1000</v>
      </c>
      <c r="K43" s="32">
        <v>45853</v>
      </c>
      <c r="L43" s="28">
        <v>1000</v>
      </c>
      <c r="M43" s="33">
        <v>45884</v>
      </c>
      <c r="N43" s="51">
        <v>1000</v>
      </c>
      <c r="O43" s="33">
        <v>45915</v>
      </c>
      <c r="P43" s="51">
        <v>1000</v>
      </c>
      <c r="Q43" s="33">
        <v>45945</v>
      </c>
      <c r="R43" s="28">
        <v>1200</v>
      </c>
      <c r="S43" s="1"/>
      <c r="T43" s="28">
        <v>1200</v>
      </c>
      <c r="U43" s="1"/>
      <c r="V43" s="28">
        <v>1200</v>
      </c>
      <c r="W43" s="1"/>
      <c r="X43" s="28">
        <v>1200</v>
      </c>
      <c r="Y43" s="1"/>
      <c r="Z43" s="28">
        <v>1200</v>
      </c>
      <c r="AA43" s="1"/>
      <c r="AB43" s="28">
        <v>1200</v>
      </c>
      <c r="AC43" s="1"/>
      <c r="AD43" s="28">
        <v>1200</v>
      </c>
      <c r="AE43" s="1"/>
      <c r="AF43" s="28">
        <v>1200</v>
      </c>
      <c r="AG43" s="1"/>
      <c r="AH43" s="1"/>
    </row>
    <row r="44" spans="1:34" ht="26.25" customHeight="1">
      <c r="A44" s="14">
        <v>35</v>
      </c>
      <c r="B44" s="15" t="s">
        <v>85</v>
      </c>
      <c r="C44" s="16" t="s">
        <v>86</v>
      </c>
      <c r="D44" s="17" t="s">
        <v>25</v>
      </c>
      <c r="E44" s="18">
        <v>9474567580</v>
      </c>
      <c r="F44" s="49">
        <v>2400</v>
      </c>
      <c r="G44" s="32">
        <v>45792</v>
      </c>
      <c r="H44" s="49">
        <v>2400</v>
      </c>
      <c r="I44" s="32">
        <v>45823</v>
      </c>
      <c r="J44" s="49">
        <v>2300</v>
      </c>
      <c r="K44" s="32">
        <v>45853</v>
      </c>
      <c r="L44" s="49">
        <v>2300</v>
      </c>
      <c r="M44" s="33">
        <v>45884</v>
      </c>
      <c r="N44" s="49">
        <v>2300</v>
      </c>
      <c r="O44" s="33">
        <v>45915</v>
      </c>
      <c r="P44" s="49">
        <v>2300</v>
      </c>
      <c r="Q44" s="33">
        <v>45945</v>
      </c>
      <c r="R44" s="53">
        <v>2700</v>
      </c>
      <c r="S44" s="58"/>
      <c r="T44" s="53">
        <v>2700</v>
      </c>
      <c r="U44" s="1"/>
      <c r="V44" s="53">
        <v>2700</v>
      </c>
      <c r="W44" s="1"/>
      <c r="X44" s="53">
        <v>2700</v>
      </c>
      <c r="Y44" s="1"/>
      <c r="Z44" s="28">
        <v>2700</v>
      </c>
      <c r="AA44" s="1"/>
      <c r="AB44" s="28">
        <v>2700</v>
      </c>
      <c r="AC44" s="1"/>
      <c r="AD44" s="28">
        <v>2700</v>
      </c>
      <c r="AE44" s="1"/>
      <c r="AF44" s="28">
        <v>2700</v>
      </c>
      <c r="AG44" s="1"/>
      <c r="AH44" s="1"/>
    </row>
    <row r="45" spans="1:34" ht="26.25" customHeight="1">
      <c r="A45" s="14">
        <v>36</v>
      </c>
      <c r="B45" s="15" t="s">
        <v>87</v>
      </c>
      <c r="C45" s="16" t="s">
        <v>88</v>
      </c>
      <c r="D45" s="17">
        <v>3</v>
      </c>
      <c r="E45" s="18">
        <v>9836087162</v>
      </c>
      <c r="F45" s="28">
        <v>1200</v>
      </c>
      <c r="G45" s="32">
        <v>45792</v>
      </c>
      <c r="H45" s="27">
        <v>1200</v>
      </c>
      <c r="I45" s="32">
        <v>45823</v>
      </c>
      <c r="J45" s="28">
        <v>1300</v>
      </c>
      <c r="K45" s="32">
        <v>45853</v>
      </c>
      <c r="L45" s="28">
        <v>1300</v>
      </c>
      <c r="M45" s="33">
        <v>45884</v>
      </c>
      <c r="N45" s="51">
        <v>1300</v>
      </c>
      <c r="O45" s="33">
        <v>45915</v>
      </c>
      <c r="P45" s="51">
        <v>1300</v>
      </c>
      <c r="Q45" s="33">
        <v>45945</v>
      </c>
      <c r="R45" s="28">
        <v>1500</v>
      </c>
      <c r="S45" s="1"/>
      <c r="T45" s="28">
        <v>1500</v>
      </c>
      <c r="U45" s="1"/>
      <c r="V45" s="28">
        <v>1500</v>
      </c>
      <c r="W45" s="1"/>
      <c r="X45" s="28">
        <v>1500</v>
      </c>
      <c r="Y45" s="1"/>
      <c r="Z45" s="28">
        <v>1500</v>
      </c>
      <c r="AA45" s="1"/>
      <c r="AB45" s="28">
        <v>1500</v>
      </c>
      <c r="AC45" s="1"/>
      <c r="AD45" s="28">
        <v>1500</v>
      </c>
      <c r="AE45" s="1"/>
      <c r="AF45" s="28">
        <v>1500</v>
      </c>
      <c r="AG45" s="1"/>
      <c r="AH45" s="1"/>
    </row>
    <row r="46" spans="1:34" ht="26.25" customHeight="1">
      <c r="A46" s="14">
        <v>37</v>
      </c>
      <c r="B46" s="15" t="s">
        <v>89</v>
      </c>
      <c r="C46" s="16" t="s">
        <v>90</v>
      </c>
      <c r="D46" s="17">
        <v>2</v>
      </c>
      <c r="E46" s="18">
        <v>8101850717</v>
      </c>
      <c r="F46" s="28">
        <v>1200</v>
      </c>
      <c r="G46" s="32">
        <v>45792</v>
      </c>
      <c r="H46" s="27">
        <v>1200</v>
      </c>
      <c r="I46" s="32">
        <v>45823</v>
      </c>
      <c r="J46" s="28">
        <v>1000</v>
      </c>
      <c r="K46" s="32">
        <v>45853</v>
      </c>
      <c r="L46" s="28">
        <v>1000</v>
      </c>
      <c r="M46" s="33">
        <v>45884</v>
      </c>
      <c r="N46" s="51">
        <v>1000</v>
      </c>
      <c r="O46" s="33">
        <v>45915</v>
      </c>
      <c r="P46" s="51">
        <v>1000</v>
      </c>
      <c r="Q46" s="33">
        <v>45945</v>
      </c>
      <c r="R46" s="28">
        <v>1200</v>
      </c>
      <c r="S46" s="1"/>
      <c r="T46" s="28">
        <v>1200</v>
      </c>
      <c r="U46" s="1"/>
      <c r="V46" s="28">
        <v>1200</v>
      </c>
      <c r="W46" s="1"/>
      <c r="X46" s="28">
        <v>1200</v>
      </c>
      <c r="Y46" s="1"/>
      <c r="Z46" s="28">
        <v>1200</v>
      </c>
      <c r="AA46" s="1"/>
      <c r="AB46" s="28">
        <v>1200</v>
      </c>
      <c r="AC46" s="1"/>
      <c r="AD46" s="28">
        <v>1200</v>
      </c>
      <c r="AE46" s="1"/>
      <c r="AF46" s="28">
        <v>1200</v>
      </c>
      <c r="AG46" s="1"/>
      <c r="AH46" s="1"/>
    </row>
    <row r="47" spans="1:34" ht="26.25" customHeight="1">
      <c r="A47" s="161" t="s">
        <v>9</v>
      </c>
      <c r="B47" s="162"/>
      <c r="C47" s="162"/>
      <c r="D47" s="162"/>
      <c r="E47" s="163"/>
      <c r="F47" s="161"/>
      <c r="G47" s="162"/>
      <c r="H47" s="162"/>
      <c r="I47" s="162"/>
      <c r="J47" s="163"/>
      <c r="K47" s="161"/>
      <c r="L47" s="162"/>
      <c r="M47" s="162">
        <v>45884</v>
      </c>
      <c r="N47" s="162"/>
      <c r="O47" s="163"/>
      <c r="P47" s="161"/>
      <c r="Q47" s="162"/>
      <c r="R47" s="162"/>
      <c r="S47" s="162"/>
      <c r="T47" s="163"/>
      <c r="U47" s="161"/>
      <c r="V47" s="162"/>
      <c r="W47" s="162"/>
      <c r="X47" s="162"/>
      <c r="Y47" s="163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26.25" customHeight="1">
      <c r="A48" s="14">
        <v>38</v>
      </c>
      <c r="B48" s="15" t="s">
        <v>91</v>
      </c>
      <c r="C48" s="16" t="s">
        <v>92</v>
      </c>
      <c r="D48" s="17">
        <v>3</v>
      </c>
      <c r="E48" s="18">
        <v>8318151358</v>
      </c>
      <c r="F48" s="28">
        <v>1200</v>
      </c>
      <c r="G48" s="32">
        <v>45792</v>
      </c>
      <c r="H48" s="28">
        <v>1200</v>
      </c>
      <c r="I48" s="32">
        <v>45823</v>
      </c>
      <c r="J48" s="28">
        <v>1300</v>
      </c>
      <c r="K48" s="32">
        <v>45853</v>
      </c>
      <c r="L48" s="28">
        <v>1300</v>
      </c>
      <c r="M48" s="33">
        <v>45884</v>
      </c>
      <c r="N48" s="51">
        <v>1300</v>
      </c>
      <c r="O48" s="33">
        <v>45915</v>
      </c>
      <c r="P48" s="28">
        <v>1300</v>
      </c>
      <c r="Q48" s="33">
        <v>45945</v>
      </c>
      <c r="R48" s="28">
        <v>1500</v>
      </c>
      <c r="S48" s="116"/>
      <c r="T48" s="28">
        <v>1500</v>
      </c>
      <c r="U48" s="116"/>
      <c r="V48" s="28">
        <v>1500</v>
      </c>
      <c r="W48" s="116"/>
      <c r="X48" s="28">
        <v>1500</v>
      </c>
      <c r="Y48" s="116"/>
      <c r="Z48" s="28">
        <v>1500</v>
      </c>
      <c r="AA48" s="1"/>
      <c r="AB48" s="28">
        <v>1500</v>
      </c>
      <c r="AC48" s="1"/>
      <c r="AD48" s="28">
        <v>1500</v>
      </c>
      <c r="AE48" s="1"/>
      <c r="AF48" s="28">
        <v>1500</v>
      </c>
      <c r="AG48" s="1"/>
      <c r="AH48" s="1"/>
    </row>
    <row r="49" spans="1:34" ht="26.25" customHeight="1">
      <c r="A49" s="14">
        <v>39</v>
      </c>
      <c r="B49" s="15" t="s">
        <v>93</v>
      </c>
      <c r="C49" s="16" t="s">
        <v>94</v>
      </c>
      <c r="D49" s="17">
        <v>3</v>
      </c>
      <c r="E49" s="18">
        <v>6296936814</v>
      </c>
      <c r="F49" s="28">
        <v>1200</v>
      </c>
      <c r="G49" s="32">
        <v>45792</v>
      </c>
      <c r="H49" s="28">
        <v>1200</v>
      </c>
      <c r="I49" s="32">
        <v>45823</v>
      </c>
      <c r="J49" s="28">
        <v>1300</v>
      </c>
      <c r="K49" s="32">
        <v>45853</v>
      </c>
      <c r="L49" s="28">
        <v>1300</v>
      </c>
      <c r="M49" s="33">
        <v>45884</v>
      </c>
      <c r="N49" s="28">
        <v>1300</v>
      </c>
      <c r="O49" s="33">
        <v>45915</v>
      </c>
      <c r="P49" s="28">
        <v>1300</v>
      </c>
      <c r="Q49" s="33">
        <v>45945</v>
      </c>
      <c r="R49" s="28">
        <v>1500</v>
      </c>
      <c r="S49" s="1"/>
      <c r="T49" s="28">
        <v>1500</v>
      </c>
      <c r="U49" s="1"/>
      <c r="V49" s="28">
        <v>1500</v>
      </c>
      <c r="W49" s="1"/>
      <c r="X49" s="28">
        <v>1500</v>
      </c>
      <c r="Y49" s="1"/>
      <c r="Z49" s="28">
        <v>1500</v>
      </c>
      <c r="AA49" s="1"/>
      <c r="AB49" s="28">
        <v>1500</v>
      </c>
      <c r="AC49" s="1"/>
      <c r="AD49" s="28">
        <v>1500</v>
      </c>
      <c r="AE49" s="1"/>
      <c r="AF49" s="28">
        <v>1500</v>
      </c>
      <c r="AG49" s="1"/>
      <c r="AH49" s="1"/>
    </row>
    <row r="50" spans="1:34" ht="26.25" customHeight="1">
      <c r="A50" s="14">
        <v>40</v>
      </c>
      <c r="B50" s="15" t="s">
        <v>95</v>
      </c>
      <c r="C50" s="16" t="s">
        <v>96</v>
      </c>
      <c r="D50" s="17">
        <v>2</v>
      </c>
      <c r="E50" s="18">
        <v>9531571901</v>
      </c>
      <c r="F50" s="28">
        <v>1200</v>
      </c>
      <c r="G50" s="32">
        <v>45792</v>
      </c>
      <c r="H50" s="28">
        <v>1200</v>
      </c>
      <c r="I50" s="32">
        <v>45823</v>
      </c>
      <c r="J50" s="28">
        <v>1000</v>
      </c>
      <c r="K50" s="32">
        <v>45853</v>
      </c>
      <c r="L50" s="28">
        <v>1000</v>
      </c>
      <c r="M50" s="33">
        <v>45884</v>
      </c>
      <c r="N50" s="51">
        <v>1000</v>
      </c>
      <c r="O50" s="33">
        <v>45915</v>
      </c>
      <c r="P50" s="28">
        <v>1000</v>
      </c>
      <c r="Q50" s="33">
        <v>45945</v>
      </c>
      <c r="R50" s="28">
        <v>1200</v>
      </c>
      <c r="S50" s="1"/>
      <c r="T50" s="28">
        <v>1200</v>
      </c>
      <c r="U50" s="1"/>
      <c r="V50" s="28">
        <v>1200</v>
      </c>
      <c r="W50" s="1"/>
      <c r="X50" s="28">
        <v>1200</v>
      </c>
      <c r="Y50" s="1"/>
      <c r="Z50" s="28">
        <v>1200</v>
      </c>
      <c r="AA50" s="1"/>
      <c r="AB50" s="28">
        <v>1200</v>
      </c>
      <c r="AC50" s="1"/>
      <c r="AD50" s="28">
        <v>1200</v>
      </c>
      <c r="AE50" s="1"/>
      <c r="AF50" s="28">
        <v>1200</v>
      </c>
      <c r="AG50" s="1"/>
      <c r="AH50" s="1"/>
    </row>
    <row r="51" spans="1:34" s="42" customFormat="1" ht="26.25" customHeight="1">
      <c r="A51" s="34">
        <v>41</v>
      </c>
      <c r="B51" s="35"/>
      <c r="C51" s="36" t="s">
        <v>97</v>
      </c>
      <c r="D51" s="37"/>
      <c r="E51" s="38"/>
      <c r="F51" s="39"/>
      <c r="G51" s="39"/>
      <c r="H51" s="50"/>
      <c r="I51" s="39"/>
      <c r="J51" s="50"/>
      <c r="K51" s="39"/>
      <c r="L51" s="50"/>
      <c r="M51" s="40"/>
      <c r="N51" s="52"/>
      <c r="O51" s="40"/>
      <c r="P51" s="55"/>
      <c r="Q51" s="41"/>
      <c r="R51" s="28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</row>
    <row r="52" spans="1:34" ht="26.25" customHeight="1">
      <c r="A52" s="14">
        <v>42</v>
      </c>
      <c r="B52" s="15" t="s">
        <v>98</v>
      </c>
      <c r="C52" s="16" t="s">
        <v>99</v>
      </c>
      <c r="D52" s="17">
        <v>3</v>
      </c>
      <c r="E52" s="18">
        <v>7680914260</v>
      </c>
      <c r="F52" s="28">
        <v>1200</v>
      </c>
      <c r="G52" s="32">
        <v>45792</v>
      </c>
      <c r="H52" s="28">
        <v>1200</v>
      </c>
      <c r="I52" s="32">
        <v>45823</v>
      </c>
      <c r="J52" s="28">
        <v>1300</v>
      </c>
      <c r="K52" s="32">
        <v>45853</v>
      </c>
      <c r="L52" s="28">
        <v>1300</v>
      </c>
      <c r="M52" s="33">
        <v>45884</v>
      </c>
      <c r="N52" s="51">
        <v>1300</v>
      </c>
      <c r="O52" s="33">
        <v>45915</v>
      </c>
      <c r="P52" s="28">
        <v>1300</v>
      </c>
      <c r="Q52" s="33">
        <v>45945</v>
      </c>
      <c r="R52" s="28">
        <v>1500</v>
      </c>
      <c r="S52" s="1"/>
      <c r="T52" s="28">
        <v>1500</v>
      </c>
      <c r="U52" s="1"/>
      <c r="V52" s="28">
        <v>1500</v>
      </c>
      <c r="W52" s="1"/>
      <c r="X52" s="28">
        <v>1500</v>
      </c>
      <c r="Y52" s="1"/>
      <c r="Z52" s="28">
        <v>1500</v>
      </c>
      <c r="AA52" s="1"/>
      <c r="AB52" s="28">
        <v>1500</v>
      </c>
      <c r="AC52" s="1"/>
      <c r="AD52" s="28">
        <v>1500</v>
      </c>
      <c r="AE52" s="1"/>
      <c r="AF52" s="28">
        <v>1500</v>
      </c>
      <c r="AG52" s="1"/>
      <c r="AH52" s="1"/>
    </row>
    <row r="53" spans="1:34" s="42" customFormat="1" ht="33.75" customHeight="1">
      <c r="A53" s="34">
        <v>43</v>
      </c>
      <c r="B53" s="71" t="s">
        <v>134</v>
      </c>
      <c r="C53" s="36" t="s">
        <v>100</v>
      </c>
      <c r="D53" s="37">
        <v>3</v>
      </c>
      <c r="E53" s="38">
        <v>7044376634</v>
      </c>
      <c r="F53" s="164" t="s">
        <v>138</v>
      </c>
      <c r="G53" s="165"/>
      <c r="H53" s="165"/>
      <c r="I53" s="165"/>
      <c r="J53" s="165"/>
      <c r="K53" s="165"/>
      <c r="L53" s="165"/>
      <c r="M53" s="166"/>
      <c r="N53" s="52">
        <v>1300</v>
      </c>
      <c r="O53" s="33">
        <v>45996</v>
      </c>
      <c r="P53" s="28">
        <v>1300</v>
      </c>
      <c r="Q53" s="33">
        <v>45996</v>
      </c>
      <c r="R53" s="28">
        <v>1500</v>
      </c>
      <c r="S53" s="33">
        <v>45996</v>
      </c>
      <c r="T53" s="28">
        <v>1500</v>
      </c>
      <c r="U53" s="33">
        <v>45996</v>
      </c>
      <c r="V53" s="28">
        <v>1500</v>
      </c>
      <c r="W53" s="33">
        <v>45996</v>
      </c>
      <c r="X53" s="28">
        <v>1500</v>
      </c>
      <c r="Y53" s="33"/>
      <c r="Z53" s="28">
        <v>1500</v>
      </c>
      <c r="AA53" s="41"/>
      <c r="AB53" s="28">
        <v>1500</v>
      </c>
      <c r="AC53" s="41"/>
      <c r="AD53" s="28">
        <v>1500</v>
      </c>
      <c r="AE53" s="41"/>
      <c r="AF53" s="28">
        <v>1500</v>
      </c>
      <c r="AG53" s="41"/>
      <c r="AH53" s="41"/>
    </row>
    <row r="54" spans="1:34" s="42" customFormat="1" ht="33" customHeight="1">
      <c r="A54" s="34">
        <v>44</v>
      </c>
      <c r="B54" s="71" t="s">
        <v>135</v>
      </c>
      <c r="C54" s="36" t="s">
        <v>101</v>
      </c>
      <c r="D54" s="37">
        <v>2</v>
      </c>
      <c r="E54" s="38">
        <v>7908550094</v>
      </c>
      <c r="F54" s="164" t="s">
        <v>138</v>
      </c>
      <c r="G54" s="165"/>
      <c r="H54" s="165"/>
      <c r="I54" s="165"/>
      <c r="J54" s="165"/>
      <c r="K54" s="165"/>
      <c r="L54" s="165"/>
      <c r="M54" s="166"/>
      <c r="N54" s="51">
        <v>1000</v>
      </c>
      <c r="O54" s="33" t="s">
        <v>189</v>
      </c>
      <c r="P54" s="51">
        <v>1000</v>
      </c>
      <c r="Q54" s="33" t="s">
        <v>189</v>
      </c>
      <c r="R54" s="73">
        <v>1200</v>
      </c>
      <c r="S54" s="118" t="s">
        <v>189</v>
      </c>
      <c r="T54" s="73">
        <v>1200</v>
      </c>
      <c r="U54" s="118" t="s">
        <v>189</v>
      </c>
      <c r="V54" s="73">
        <v>1200</v>
      </c>
      <c r="W54" s="118" t="s">
        <v>189</v>
      </c>
      <c r="X54" s="73">
        <v>1200</v>
      </c>
      <c r="Y54" s="118" t="s">
        <v>189</v>
      </c>
      <c r="Z54" s="73">
        <v>1200</v>
      </c>
      <c r="AA54" s="41"/>
      <c r="AB54" s="73">
        <v>1200</v>
      </c>
      <c r="AC54" s="41"/>
      <c r="AD54" s="73">
        <v>1200</v>
      </c>
      <c r="AE54" s="41"/>
      <c r="AF54" s="73">
        <v>1200</v>
      </c>
      <c r="AG54" s="41"/>
      <c r="AH54" s="41"/>
    </row>
    <row r="55" spans="1:34" s="42" customFormat="1" ht="26.25" customHeight="1">
      <c r="A55" s="34">
        <v>45</v>
      </c>
      <c r="B55" s="35"/>
      <c r="C55" s="36" t="s">
        <v>102</v>
      </c>
      <c r="D55" s="37">
        <v>2</v>
      </c>
      <c r="E55" s="38"/>
      <c r="F55" s="39"/>
      <c r="G55" s="39"/>
      <c r="H55" s="39"/>
      <c r="I55" s="39"/>
      <c r="J55" s="50"/>
      <c r="K55" s="39"/>
      <c r="L55" s="50"/>
      <c r="M55" s="40"/>
      <c r="N55" s="52"/>
      <c r="O55" s="40"/>
      <c r="P55" s="55"/>
      <c r="Q55" s="41"/>
      <c r="R55" s="28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</row>
    <row r="56" spans="1:34" ht="26.25" customHeight="1">
      <c r="A56" s="161" t="s">
        <v>10</v>
      </c>
      <c r="B56" s="162"/>
      <c r="C56" s="162"/>
      <c r="D56" s="162"/>
      <c r="E56" s="163"/>
      <c r="F56" s="161"/>
      <c r="G56" s="162"/>
      <c r="H56" s="162"/>
      <c r="I56" s="162"/>
      <c r="J56" s="163"/>
      <c r="K56" s="161"/>
      <c r="L56" s="162"/>
      <c r="M56" s="162"/>
      <c r="N56" s="162"/>
      <c r="O56" s="163"/>
      <c r="P56" s="161"/>
      <c r="Q56" s="162"/>
      <c r="R56" s="162"/>
      <c r="S56" s="162"/>
      <c r="T56" s="163"/>
      <c r="U56" s="161"/>
      <c r="V56" s="162"/>
      <c r="W56" s="162"/>
      <c r="X56" s="162"/>
      <c r="Y56" s="163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26.25" customHeight="1">
      <c r="A57" s="14">
        <v>46</v>
      </c>
      <c r="B57" s="15" t="s">
        <v>103</v>
      </c>
      <c r="C57" s="16" t="s">
        <v>104</v>
      </c>
      <c r="D57" s="17">
        <v>3</v>
      </c>
      <c r="E57" s="18">
        <v>7908182143</v>
      </c>
      <c r="F57" s="28">
        <v>1200</v>
      </c>
      <c r="G57" s="32">
        <v>45792</v>
      </c>
      <c r="H57" s="28">
        <v>1200</v>
      </c>
      <c r="I57" s="32">
        <v>45823</v>
      </c>
      <c r="J57" s="73">
        <v>1300</v>
      </c>
      <c r="K57" s="32">
        <v>45938</v>
      </c>
      <c r="L57" s="73">
        <v>1300</v>
      </c>
      <c r="M57" s="32">
        <v>45938</v>
      </c>
      <c r="N57" s="74">
        <v>1300</v>
      </c>
      <c r="O57" s="32">
        <v>45938</v>
      </c>
      <c r="P57" s="74">
        <v>1300</v>
      </c>
      <c r="Q57" s="32">
        <v>45938</v>
      </c>
      <c r="R57" s="73">
        <v>1500</v>
      </c>
      <c r="S57" s="32">
        <v>45938</v>
      </c>
      <c r="T57" s="73">
        <v>1500</v>
      </c>
      <c r="U57" s="117"/>
      <c r="V57" s="73">
        <v>1500</v>
      </c>
      <c r="W57" s="1"/>
      <c r="X57" s="73">
        <v>1500</v>
      </c>
      <c r="Y57" s="1"/>
      <c r="Z57" s="73">
        <v>1500</v>
      </c>
      <c r="AA57" s="1"/>
      <c r="AB57" s="73">
        <v>1500</v>
      </c>
      <c r="AC57" s="1"/>
      <c r="AD57" s="73">
        <v>1500</v>
      </c>
      <c r="AE57" s="1"/>
      <c r="AF57" s="73">
        <v>1500</v>
      </c>
      <c r="AG57" s="1"/>
      <c r="AH57" s="1"/>
    </row>
    <row r="58" spans="1:34" ht="26.25" customHeight="1">
      <c r="A58" s="14">
        <v>47</v>
      </c>
      <c r="B58" s="15" t="s">
        <v>105</v>
      </c>
      <c r="C58" s="16" t="s">
        <v>106</v>
      </c>
      <c r="D58" s="17">
        <v>3</v>
      </c>
      <c r="E58" s="18">
        <v>9933918646</v>
      </c>
      <c r="F58" s="28">
        <v>1200</v>
      </c>
      <c r="G58" s="32">
        <v>45792</v>
      </c>
      <c r="H58" s="28">
        <v>1200</v>
      </c>
      <c r="I58" s="32">
        <v>45823</v>
      </c>
      <c r="J58" s="28">
        <v>1300</v>
      </c>
      <c r="K58" s="32">
        <v>45853</v>
      </c>
      <c r="L58" s="28">
        <v>1300</v>
      </c>
      <c r="M58" s="33">
        <v>45884</v>
      </c>
      <c r="N58" s="51">
        <v>1300</v>
      </c>
      <c r="O58" s="33">
        <v>45915</v>
      </c>
      <c r="P58" s="51">
        <v>1300</v>
      </c>
      <c r="Q58" s="33">
        <v>45945</v>
      </c>
      <c r="R58" s="28">
        <v>1500</v>
      </c>
      <c r="S58" s="1"/>
      <c r="T58" s="28">
        <v>1500</v>
      </c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s="42" customFormat="1" ht="26.25" customHeight="1">
      <c r="A59" s="34">
        <v>48</v>
      </c>
      <c r="B59" s="71" t="s">
        <v>136</v>
      </c>
      <c r="C59" s="36" t="s">
        <v>107</v>
      </c>
      <c r="D59" s="37"/>
      <c r="E59" s="38">
        <v>9831313288</v>
      </c>
      <c r="F59" s="173" t="s">
        <v>139</v>
      </c>
      <c r="G59" s="174"/>
      <c r="H59" s="174"/>
      <c r="I59" s="174"/>
      <c r="J59" s="174"/>
      <c r="K59" s="174"/>
      <c r="L59" s="174"/>
      <c r="M59" s="174"/>
      <c r="N59" s="174"/>
      <c r="O59" s="175"/>
      <c r="P59" s="52"/>
      <c r="Q59" s="41"/>
      <c r="R59" s="28">
        <v>1200</v>
      </c>
      <c r="S59" s="41"/>
      <c r="T59" s="28">
        <v>1200</v>
      </c>
      <c r="U59" s="41"/>
      <c r="V59" s="28">
        <v>1200</v>
      </c>
      <c r="W59" s="41"/>
      <c r="X59" s="28">
        <v>1200</v>
      </c>
      <c r="Y59" s="41"/>
      <c r="Z59" s="28">
        <v>1200</v>
      </c>
      <c r="AA59" s="41"/>
      <c r="AB59" s="28">
        <v>1200</v>
      </c>
      <c r="AC59" s="41"/>
      <c r="AD59" s="28">
        <v>1200</v>
      </c>
      <c r="AE59" s="41"/>
      <c r="AF59" s="28">
        <v>1200</v>
      </c>
      <c r="AG59" s="41"/>
      <c r="AH59" s="41"/>
    </row>
    <row r="60" spans="1:34" s="42" customFormat="1" ht="26.25" customHeight="1">
      <c r="A60" s="34">
        <v>49</v>
      </c>
      <c r="B60" s="35"/>
      <c r="C60" s="36" t="s">
        <v>108</v>
      </c>
      <c r="D60" s="37"/>
      <c r="E60" s="38"/>
      <c r="F60" s="39"/>
      <c r="G60" s="39"/>
      <c r="H60" s="50"/>
      <c r="I60" s="39"/>
      <c r="J60" s="50"/>
      <c r="K60" s="39"/>
      <c r="L60" s="50"/>
      <c r="M60" s="40"/>
      <c r="N60" s="52"/>
      <c r="O60" s="40"/>
      <c r="P60" s="52"/>
      <c r="Q60" s="41"/>
      <c r="R60" s="28"/>
      <c r="S60" s="41"/>
      <c r="T60" s="28"/>
      <c r="U60" s="41"/>
      <c r="V60" s="28"/>
      <c r="W60" s="41"/>
      <c r="X60" s="28"/>
      <c r="Y60" s="41"/>
      <c r="Z60" s="41"/>
      <c r="AA60" s="41"/>
      <c r="AB60" s="41"/>
      <c r="AC60" s="41"/>
      <c r="AD60" s="41"/>
      <c r="AE60" s="41"/>
      <c r="AF60" s="41"/>
      <c r="AG60" s="41"/>
      <c r="AH60" s="41"/>
    </row>
    <row r="61" spans="1:34" ht="26.25" customHeight="1">
      <c r="A61" s="14">
        <v>50</v>
      </c>
      <c r="B61" s="15" t="s">
        <v>109</v>
      </c>
      <c r="C61" s="16" t="s">
        <v>110</v>
      </c>
      <c r="D61" s="17">
        <v>3</v>
      </c>
      <c r="E61" s="18">
        <v>9681710268</v>
      </c>
      <c r="F61" s="28">
        <v>1200</v>
      </c>
      <c r="G61" s="32">
        <v>45792</v>
      </c>
      <c r="H61" s="28">
        <v>1200</v>
      </c>
      <c r="I61" s="32">
        <v>45823</v>
      </c>
      <c r="J61" s="28">
        <v>1300</v>
      </c>
      <c r="K61" s="32">
        <v>45853</v>
      </c>
      <c r="L61" s="28">
        <v>1300</v>
      </c>
      <c r="M61" s="33">
        <v>45884</v>
      </c>
      <c r="N61" s="51">
        <v>1300</v>
      </c>
      <c r="O61" s="33">
        <v>45915</v>
      </c>
      <c r="P61" s="51">
        <v>1300</v>
      </c>
      <c r="Q61" s="33">
        <v>45945</v>
      </c>
      <c r="R61" s="28">
        <v>1500</v>
      </c>
      <c r="S61" s="1"/>
      <c r="T61" s="28">
        <v>1500</v>
      </c>
      <c r="U61" s="1"/>
      <c r="V61" s="28">
        <v>1500</v>
      </c>
      <c r="W61" s="1"/>
      <c r="X61" s="28">
        <v>1500</v>
      </c>
      <c r="Y61" s="1"/>
      <c r="Z61" s="28">
        <v>1500</v>
      </c>
      <c r="AA61" s="1"/>
      <c r="AB61" s="28">
        <v>1500</v>
      </c>
      <c r="AC61" s="1"/>
      <c r="AD61" s="28">
        <v>1500</v>
      </c>
      <c r="AE61" s="1"/>
      <c r="AF61" s="28">
        <v>1500</v>
      </c>
      <c r="AG61" s="1"/>
      <c r="AH61" s="1"/>
    </row>
    <row r="62" spans="1:34" ht="26.25" customHeight="1">
      <c r="A62" s="14">
        <v>51</v>
      </c>
      <c r="B62" s="15" t="s">
        <v>111</v>
      </c>
      <c r="C62" s="16" t="s">
        <v>112</v>
      </c>
      <c r="D62" s="17">
        <v>3</v>
      </c>
      <c r="E62" s="18">
        <v>9434216284</v>
      </c>
      <c r="F62" s="28">
        <v>1200</v>
      </c>
      <c r="G62" s="32">
        <v>45792</v>
      </c>
      <c r="H62" s="28">
        <v>1200</v>
      </c>
      <c r="I62" s="32">
        <v>45823</v>
      </c>
      <c r="J62" s="28">
        <v>1300</v>
      </c>
      <c r="K62" s="32">
        <v>45853</v>
      </c>
      <c r="L62" s="28">
        <v>1300</v>
      </c>
      <c r="M62" s="33">
        <v>45884</v>
      </c>
      <c r="N62" s="51">
        <v>1300</v>
      </c>
      <c r="O62" s="33">
        <v>45915</v>
      </c>
      <c r="P62" s="51">
        <v>1300</v>
      </c>
      <c r="Q62" s="33">
        <v>45945</v>
      </c>
      <c r="R62" s="28">
        <v>1500</v>
      </c>
      <c r="S62" s="1"/>
      <c r="T62" s="28">
        <v>1500</v>
      </c>
      <c r="U62" s="1"/>
      <c r="V62" s="28">
        <v>1500</v>
      </c>
      <c r="W62" s="1"/>
      <c r="X62" s="28">
        <v>1500</v>
      </c>
      <c r="Y62" s="1"/>
      <c r="Z62" s="28">
        <v>1500</v>
      </c>
      <c r="AA62" s="1"/>
      <c r="AB62" s="28">
        <v>1500</v>
      </c>
      <c r="AC62" s="1"/>
      <c r="AD62" s="28">
        <v>1500</v>
      </c>
      <c r="AE62" s="1"/>
      <c r="AF62" s="28">
        <v>1500</v>
      </c>
      <c r="AG62" s="1"/>
      <c r="AH62" s="1"/>
    </row>
    <row r="63" spans="1:34" ht="26.25" customHeight="1">
      <c r="A63" s="14">
        <v>52</v>
      </c>
      <c r="B63" s="15" t="s">
        <v>113</v>
      </c>
      <c r="C63" s="16" t="s">
        <v>114</v>
      </c>
      <c r="D63" s="17">
        <v>2</v>
      </c>
      <c r="E63" s="18">
        <v>9458208175</v>
      </c>
      <c r="F63" s="28">
        <v>1200</v>
      </c>
      <c r="G63" s="32">
        <v>45792</v>
      </c>
      <c r="H63" s="28">
        <v>1200</v>
      </c>
      <c r="I63" s="32">
        <v>45823</v>
      </c>
      <c r="J63" s="28">
        <v>1000</v>
      </c>
      <c r="K63" s="32">
        <v>45853</v>
      </c>
      <c r="L63" s="28">
        <v>1000</v>
      </c>
      <c r="M63" s="33">
        <v>45884</v>
      </c>
      <c r="N63" s="51">
        <v>1000</v>
      </c>
      <c r="O63" s="33">
        <v>45915</v>
      </c>
      <c r="P63" s="51">
        <v>1000</v>
      </c>
      <c r="Q63" s="33">
        <v>45945</v>
      </c>
      <c r="R63" s="28">
        <v>1200</v>
      </c>
      <c r="S63" s="1"/>
      <c r="T63" s="28">
        <v>1200</v>
      </c>
      <c r="U63" s="1"/>
      <c r="V63" s="28">
        <v>1200</v>
      </c>
      <c r="W63" s="1"/>
      <c r="X63" s="28">
        <v>1200</v>
      </c>
      <c r="Y63" s="1"/>
      <c r="Z63" s="28">
        <v>1200</v>
      </c>
      <c r="AA63" s="1"/>
      <c r="AB63" s="28">
        <v>1200</v>
      </c>
      <c r="AC63" s="1"/>
      <c r="AD63" s="28">
        <v>1200</v>
      </c>
      <c r="AE63" s="1"/>
      <c r="AF63" s="28">
        <v>1200</v>
      </c>
      <c r="AG63" s="1"/>
      <c r="AH63" s="1"/>
    </row>
    <row r="64" spans="1:34" s="42" customFormat="1" ht="26.25" customHeight="1">
      <c r="A64" s="34">
        <v>53</v>
      </c>
      <c r="B64" s="35"/>
      <c r="C64" s="36" t="s">
        <v>115</v>
      </c>
      <c r="D64" s="37"/>
      <c r="E64" s="38"/>
      <c r="F64" s="39"/>
      <c r="G64" s="39"/>
      <c r="H64" s="39"/>
      <c r="I64" s="39"/>
      <c r="J64" s="50"/>
      <c r="K64" s="39"/>
      <c r="L64" s="50"/>
      <c r="M64" s="40"/>
      <c r="N64" s="52"/>
      <c r="O64" s="40"/>
      <c r="P64" s="55"/>
      <c r="Q64" s="41"/>
      <c r="R64" s="28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</row>
    <row r="65" spans="1:34" ht="26.25" customHeight="1">
      <c r="A65" s="161" t="s">
        <v>11</v>
      </c>
      <c r="B65" s="162"/>
      <c r="C65" s="162"/>
      <c r="D65" s="162"/>
      <c r="E65" s="163"/>
      <c r="F65" s="161"/>
      <c r="G65" s="162"/>
      <c r="H65" s="162"/>
      <c r="I65" s="162"/>
      <c r="J65" s="163"/>
      <c r="K65" s="161"/>
      <c r="L65" s="162"/>
      <c r="M65" s="162"/>
      <c r="N65" s="162"/>
      <c r="O65" s="163"/>
      <c r="P65" s="161"/>
      <c r="Q65" s="162"/>
      <c r="R65" s="162"/>
      <c r="S65" s="162"/>
      <c r="T65" s="163"/>
      <c r="U65" s="161"/>
      <c r="V65" s="162"/>
      <c r="W65" s="162"/>
      <c r="X65" s="162"/>
      <c r="Y65" s="163"/>
      <c r="Z65" s="1"/>
      <c r="AA65" s="1"/>
      <c r="AB65" s="1"/>
      <c r="AC65" s="1"/>
      <c r="AD65" s="1"/>
      <c r="AE65" s="1"/>
      <c r="AF65" s="1"/>
      <c r="AG65" s="1"/>
      <c r="AH65" s="1"/>
    </row>
    <row r="66" spans="1:34" s="42" customFormat="1" ht="26.25" customHeight="1">
      <c r="A66" s="34">
        <v>54</v>
      </c>
      <c r="B66" s="35"/>
      <c r="C66" s="36" t="s">
        <v>116</v>
      </c>
      <c r="D66" s="37"/>
      <c r="E66" s="38"/>
      <c r="F66" s="39"/>
      <c r="G66" s="39"/>
      <c r="H66" s="39"/>
      <c r="I66" s="39"/>
      <c r="J66" s="50"/>
      <c r="K66" s="39"/>
      <c r="L66" s="50"/>
      <c r="M66" s="40"/>
      <c r="N66" s="52"/>
      <c r="O66" s="40"/>
      <c r="P66" s="55"/>
      <c r="Q66" s="41"/>
      <c r="R66" s="28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</row>
    <row r="67" spans="1:34" s="42" customFormat="1" ht="26.25" customHeight="1">
      <c r="A67" s="34">
        <v>55</v>
      </c>
      <c r="B67" s="35"/>
      <c r="C67" s="36" t="s">
        <v>117</v>
      </c>
      <c r="D67" s="37"/>
      <c r="E67" s="38"/>
      <c r="F67" s="39"/>
      <c r="G67" s="39"/>
      <c r="H67" s="39"/>
      <c r="I67" s="39"/>
      <c r="J67" s="50"/>
      <c r="K67" s="39"/>
      <c r="L67" s="50"/>
      <c r="M67" s="40"/>
      <c r="N67" s="52"/>
      <c r="O67" s="40"/>
      <c r="P67" s="55"/>
      <c r="Q67" s="41"/>
      <c r="R67" s="28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</row>
    <row r="68" spans="1:34" s="42" customFormat="1" ht="26.25" customHeight="1">
      <c r="A68" s="34">
        <v>56</v>
      </c>
      <c r="B68" s="35"/>
      <c r="C68" s="36" t="s">
        <v>118</v>
      </c>
      <c r="D68" s="37"/>
      <c r="E68" s="38"/>
      <c r="F68" s="39"/>
      <c r="G68" s="39"/>
      <c r="H68" s="39"/>
      <c r="I68" s="39"/>
      <c r="J68" s="50"/>
      <c r="K68" s="39"/>
      <c r="L68" s="50"/>
      <c r="M68" s="40"/>
      <c r="N68" s="52"/>
      <c r="O68" s="40"/>
      <c r="P68" s="55"/>
      <c r="Q68" s="41"/>
      <c r="R68" s="28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</row>
    <row r="69" spans="1:34" s="42" customFormat="1" ht="26.25" customHeight="1">
      <c r="A69" s="34">
        <v>57</v>
      </c>
      <c r="B69" s="35"/>
      <c r="C69" s="36" t="s">
        <v>119</v>
      </c>
      <c r="D69" s="37"/>
      <c r="E69" s="38"/>
      <c r="F69" s="39"/>
      <c r="G69" s="39"/>
      <c r="H69" s="39"/>
      <c r="I69" s="39"/>
      <c r="J69" s="50"/>
      <c r="K69" s="39"/>
      <c r="L69" s="50"/>
      <c r="M69" s="40"/>
      <c r="N69" s="52"/>
      <c r="O69" s="40"/>
      <c r="P69" s="55"/>
      <c r="Q69" s="41"/>
      <c r="R69" s="28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</row>
    <row r="70" spans="1:34" ht="26.25" customHeight="1">
      <c r="A70" s="14">
        <v>58</v>
      </c>
      <c r="B70" s="15" t="s">
        <v>120</v>
      </c>
      <c r="C70" s="16" t="s">
        <v>121</v>
      </c>
      <c r="D70" s="17">
        <v>3</v>
      </c>
      <c r="E70" s="18">
        <v>9681429435</v>
      </c>
      <c r="F70" s="28">
        <v>1200</v>
      </c>
      <c r="G70" s="32">
        <v>45792</v>
      </c>
      <c r="H70" s="19">
        <v>1200</v>
      </c>
      <c r="I70" s="32">
        <v>45823</v>
      </c>
      <c r="J70" s="28">
        <v>1300</v>
      </c>
      <c r="K70" s="19"/>
      <c r="L70" s="28">
        <v>1300</v>
      </c>
      <c r="M70" s="33">
        <v>45884</v>
      </c>
      <c r="N70" s="28">
        <v>1300</v>
      </c>
      <c r="O70" s="33">
        <v>45915</v>
      </c>
      <c r="P70" s="28">
        <v>1300</v>
      </c>
      <c r="Q70" s="33">
        <v>45945</v>
      </c>
      <c r="R70" s="28">
        <v>1500</v>
      </c>
      <c r="S70" s="1"/>
      <c r="T70" s="73">
        <v>1500</v>
      </c>
      <c r="U70" s="117"/>
      <c r="V70" s="73">
        <v>1500</v>
      </c>
      <c r="W70" s="117"/>
      <c r="X70" s="73">
        <v>1500</v>
      </c>
      <c r="Y70" s="1"/>
      <c r="Z70" s="73">
        <v>1500</v>
      </c>
      <c r="AA70" s="1"/>
      <c r="AB70" s="73">
        <v>1500</v>
      </c>
      <c r="AC70" s="1"/>
      <c r="AD70" s="73">
        <v>1500</v>
      </c>
      <c r="AE70" s="1"/>
      <c r="AF70" s="73">
        <v>1500</v>
      </c>
      <c r="AG70" s="1"/>
      <c r="AH70" s="1"/>
    </row>
    <row r="71" spans="1:34" ht="26.25" customHeight="1">
      <c r="A71" s="14">
        <v>59</v>
      </c>
      <c r="B71" s="15" t="s">
        <v>122</v>
      </c>
      <c r="C71" s="16" t="s">
        <v>123</v>
      </c>
      <c r="D71" s="17">
        <v>3</v>
      </c>
      <c r="E71" s="18">
        <v>7908970236</v>
      </c>
      <c r="F71" s="28">
        <v>1200</v>
      </c>
      <c r="G71" s="32">
        <v>45792</v>
      </c>
      <c r="H71" s="19">
        <v>1200</v>
      </c>
      <c r="I71" s="32">
        <v>45823</v>
      </c>
      <c r="J71" s="28">
        <v>1300</v>
      </c>
      <c r="K71" s="19"/>
      <c r="L71" s="28">
        <v>1300</v>
      </c>
      <c r="M71" s="33">
        <v>45884</v>
      </c>
      <c r="N71" s="28">
        <v>1300</v>
      </c>
      <c r="O71" s="33">
        <v>45915</v>
      </c>
      <c r="P71" s="28">
        <v>1300</v>
      </c>
      <c r="Q71" s="33">
        <v>45945</v>
      </c>
      <c r="R71" s="28">
        <v>1500</v>
      </c>
      <c r="S71" s="1"/>
      <c r="T71" s="73">
        <v>1500</v>
      </c>
      <c r="U71" s="117"/>
      <c r="V71" s="73">
        <v>1500</v>
      </c>
      <c r="W71" s="117"/>
      <c r="X71" s="73">
        <v>1500</v>
      </c>
      <c r="Y71" s="1"/>
      <c r="Z71" s="73">
        <v>1500</v>
      </c>
      <c r="AA71" s="1"/>
      <c r="AB71" s="73">
        <v>1500</v>
      </c>
      <c r="AC71" s="1"/>
      <c r="AD71" s="73">
        <v>1500</v>
      </c>
      <c r="AE71" s="1"/>
      <c r="AF71" s="73">
        <v>1500</v>
      </c>
      <c r="AG71" s="1"/>
      <c r="AH71" s="1"/>
    </row>
    <row r="72" spans="1:34" ht="26.25" customHeight="1">
      <c r="A72" s="14">
        <v>60</v>
      </c>
      <c r="B72" s="15" t="s">
        <v>124</v>
      </c>
      <c r="C72" s="16" t="s">
        <v>125</v>
      </c>
      <c r="D72" s="17">
        <v>2</v>
      </c>
      <c r="E72" s="18">
        <v>9046420491</v>
      </c>
      <c r="F72" s="28">
        <v>1200</v>
      </c>
      <c r="G72" s="32">
        <v>45792</v>
      </c>
      <c r="H72" s="19">
        <v>1200</v>
      </c>
      <c r="I72" s="32">
        <v>45823</v>
      </c>
      <c r="J72" s="28">
        <v>1000</v>
      </c>
      <c r="K72" s="19"/>
      <c r="L72" s="28">
        <v>1000</v>
      </c>
      <c r="M72" s="33">
        <v>45884</v>
      </c>
      <c r="N72" s="28">
        <v>1000</v>
      </c>
      <c r="O72" s="33">
        <v>45915</v>
      </c>
      <c r="P72" s="28">
        <v>1000</v>
      </c>
      <c r="Q72" s="33">
        <v>45945</v>
      </c>
      <c r="R72" s="28">
        <v>1200</v>
      </c>
      <c r="S72" s="1"/>
      <c r="T72" s="73">
        <v>1200</v>
      </c>
      <c r="U72" s="117"/>
      <c r="V72" s="73">
        <v>1200</v>
      </c>
      <c r="W72" s="117"/>
      <c r="X72" s="73">
        <v>1200</v>
      </c>
      <c r="Y72" s="1"/>
      <c r="Z72" s="73">
        <v>1200</v>
      </c>
      <c r="AA72" s="1"/>
      <c r="AB72" s="73">
        <v>1200</v>
      </c>
      <c r="AC72" s="1"/>
      <c r="AD72" s="73">
        <v>1200</v>
      </c>
      <c r="AE72" s="1"/>
      <c r="AF72" s="73">
        <v>1200</v>
      </c>
      <c r="AG72" s="1"/>
      <c r="AH72" s="1"/>
    </row>
    <row r="73" spans="1:34" s="42" customFormat="1" ht="26.25" customHeight="1">
      <c r="A73" s="34">
        <v>61</v>
      </c>
      <c r="B73" s="43"/>
      <c r="C73" s="36" t="s">
        <v>2</v>
      </c>
      <c r="D73" s="37"/>
      <c r="E73" s="44"/>
      <c r="F73" s="39"/>
      <c r="G73" s="39"/>
      <c r="H73" s="39"/>
      <c r="I73" s="39"/>
      <c r="J73" s="39"/>
      <c r="K73" s="39"/>
      <c r="L73" s="50"/>
      <c r="M73" s="40"/>
      <c r="N73" s="52"/>
      <c r="O73" s="40"/>
      <c r="P73" s="55"/>
      <c r="Q73" s="41"/>
      <c r="R73" s="28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</row>
    <row r="74" spans="1:34" s="42" customFormat="1" ht="26.25" customHeight="1">
      <c r="A74" s="60">
        <v>62</v>
      </c>
      <c r="B74" s="61" t="s">
        <v>132</v>
      </c>
      <c r="C74" s="62"/>
      <c r="D74" s="63"/>
      <c r="E74" s="64"/>
      <c r="F74" s="65"/>
      <c r="G74" s="65"/>
      <c r="H74" s="65"/>
      <c r="I74" s="65"/>
      <c r="J74" s="65"/>
      <c r="K74" s="65"/>
      <c r="L74" s="66"/>
      <c r="M74" s="67"/>
      <c r="N74" s="68"/>
      <c r="O74" s="67"/>
      <c r="P74" s="69"/>
      <c r="Q74" s="70"/>
      <c r="R74" s="28">
        <v>4400</v>
      </c>
      <c r="S74" s="33">
        <v>45940</v>
      </c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41"/>
    </row>
    <row r="75" spans="1:34" s="42" customFormat="1" ht="26.25" customHeight="1">
      <c r="A75" s="34">
        <v>63</v>
      </c>
      <c r="B75" s="61" t="s">
        <v>133</v>
      </c>
      <c r="C75" s="62"/>
      <c r="D75" s="63"/>
      <c r="E75" s="64"/>
      <c r="F75" s="65"/>
      <c r="G75" s="65"/>
      <c r="H75" s="65"/>
      <c r="I75" s="65"/>
      <c r="J75" s="65"/>
      <c r="K75" s="65"/>
      <c r="L75" s="66"/>
      <c r="M75" s="67"/>
      <c r="N75" s="68"/>
      <c r="O75" s="67"/>
      <c r="P75" s="69"/>
      <c r="Q75" s="70"/>
      <c r="R75" s="28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41"/>
    </row>
    <row r="76" spans="1:34" s="42" customFormat="1" ht="26.25" customHeight="1">
      <c r="A76" s="60">
        <v>64</v>
      </c>
      <c r="B76" s="61" t="s">
        <v>181</v>
      </c>
      <c r="C76" s="62"/>
      <c r="D76" s="63"/>
      <c r="E76" s="64"/>
      <c r="F76" s="65"/>
      <c r="G76" s="65"/>
      <c r="H76" s="65"/>
      <c r="I76" s="65"/>
      <c r="J76" s="65"/>
      <c r="K76" s="65"/>
      <c r="L76" s="66"/>
      <c r="M76" s="67"/>
      <c r="N76" s="68"/>
      <c r="O76" s="67"/>
      <c r="P76" s="69"/>
      <c r="Q76" s="70"/>
      <c r="R76" s="28">
        <v>6000</v>
      </c>
      <c r="S76" s="33">
        <v>45940</v>
      </c>
      <c r="T76" s="70"/>
      <c r="U76" s="70"/>
      <c r="V76" s="73">
        <v>4000</v>
      </c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41"/>
    </row>
    <row r="77" spans="1:34" ht="26.45" customHeight="1">
      <c r="A77" s="22"/>
      <c r="B77" s="177" t="s">
        <v>3</v>
      </c>
      <c r="C77" s="178"/>
      <c r="D77" s="23"/>
      <c r="E77" s="24"/>
      <c r="F77" s="25"/>
      <c r="G77" s="25"/>
      <c r="H77" s="25"/>
      <c r="I77" s="25"/>
      <c r="J77" s="25"/>
      <c r="K77" s="25"/>
      <c r="L77" s="25"/>
      <c r="M77" s="26"/>
      <c r="N77" s="54"/>
      <c r="O77" s="26"/>
      <c r="P77" s="56"/>
      <c r="Q77" s="12"/>
      <c r="R77" s="28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"/>
    </row>
    <row r="78" spans="1:34" ht="27" customHeight="1">
      <c r="A78" s="172" t="s">
        <v>21</v>
      </c>
      <c r="B78" s="172"/>
      <c r="C78" s="172"/>
      <c r="D78" s="172"/>
      <c r="E78" s="172"/>
      <c r="F78" s="28">
        <f>SUM(F6:F77)</f>
        <v>55200</v>
      </c>
      <c r="G78" s="28"/>
      <c r="H78" s="28">
        <f t="shared" ref="H78:AH78" si="0">SUM(H6:H77)</f>
        <v>55200</v>
      </c>
      <c r="I78" s="28"/>
      <c r="J78" s="28">
        <f t="shared" si="0"/>
        <v>54100</v>
      </c>
      <c r="K78" s="28"/>
      <c r="L78" s="28">
        <f t="shared" si="0"/>
        <v>71300</v>
      </c>
      <c r="M78" s="28"/>
      <c r="N78" s="28">
        <f t="shared" si="0"/>
        <v>57700</v>
      </c>
      <c r="O78" s="28"/>
      <c r="P78" s="28">
        <f t="shared" si="0"/>
        <v>57700</v>
      </c>
      <c r="Q78" s="13"/>
      <c r="R78" s="28">
        <f t="shared" si="0"/>
        <v>78900</v>
      </c>
      <c r="S78" s="13"/>
      <c r="T78" s="28">
        <f t="shared" si="0"/>
        <v>68500</v>
      </c>
      <c r="U78" s="13"/>
      <c r="V78" s="28">
        <f t="shared" si="0"/>
        <v>71000</v>
      </c>
      <c r="W78" s="13"/>
      <c r="X78" s="28">
        <f t="shared" si="0"/>
        <v>65800</v>
      </c>
      <c r="Y78" s="13"/>
      <c r="Z78" s="28">
        <f t="shared" si="0"/>
        <v>66000</v>
      </c>
      <c r="AA78" s="13">
        <f t="shared" si="0"/>
        <v>0</v>
      </c>
      <c r="AB78" s="28">
        <f t="shared" si="0"/>
        <v>66000</v>
      </c>
      <c r="AC78" s="13">
        <f t="shared" si="0"/>
        <v>0</v>
      </c>
      <c r="AD78" s="28">
        <f t="shared" ref="AD78:AE78" si="1">SUM(AD6:AD77)</f>
        <v>66000</v>
      </c>
      <c r="AE78" s="13">
        <f t="shared" si="1"/>
        <v>0</v>
      </c>
      <c r="AF78" s="28">
        <f t="shared" ref="AF78:AG78" si="2">SUM(AF6:AF77)</f>
        <v>64800</v>
      </c>
      <c r="AG78" s="13">
        <f t="shared" si="2"/>
        <v>0</v>
      </c>
      <c r="AH78" s="3">
        <f t="shared" si="0"/>
        <v>0</v>
      </c>
    </row>
    <row r="80" spans="1:34" ht="25.5">
      <c r="F80" s="169">
        <v>45748</v>
      </c>
      <c r="G80" s="170"/>
      <c r="H80" s="167">
        <v>45778</v>
      </c>
      <c r="I80" s="168"/>
      <c r="J80" s="169">
        <v>45809</v>
      </c>
      <c r="K80" s="170"/>
      <c r="L80" s="167">
        <v>45839</v>
      </c>
      <c r="M80" s="168"/>
      <c r="N80" s="169">
        <v>45870</v>
      </c>
      <c r="O80" s="170"/>
      <c r="P80" s="167">
        <v>45901</v>
      </c>
      <c r="Q80" s="168"/>
      <c r="R80" s="169">
        <v>45931</v>
      </c>
      <c r="S80" s="170"/>
      <c r="T80" s="167">
        <v>45962</v>
      </c>
      <c r="U80" s="168"/>
      <c r="V80" s="158">
        <v>45992</v>
      </c>
      <c r="W80" s="159"/>
      <c r="X80" s="158">
        <v>46023</v>
      </c>
      <c r="Y80" s="159"/>
      <c r="Z80" s="158">
        <v>46054</v>
      </c>
      <c r="AA80" s="159"/>
      <c r="AB80" s="158">
        <v>46082</v>
      </c>
      <c r="AC80" s="159"/>
      <c r="AD80" s="158">
        <v>46113</v>
      </c>
      <c r="AE80" s="159"/>
      <c r="AF80" s="158">
        <v>46143</v>
      </c>
      <c r="AG80" s="159"/>
    </row>
    <row r="81" spans="1:17" ht="32.450000000000003" customHeight="1">
      <c r="A81" s="176" t="s">
        <v>22</v>
      </c>
      <c r="B81" s="176"/>
      <c r="C81" s="176"/>
      <c r="D81" s="176"/>
      <c r="E81" s="176"/>
      <c r="F81" s="182">
        <f>SUM(F78:AC78)</f>
        <v>767400</v>
      </c>
      <c r="G81" s="182"/>
      <c r="H81" s="182"/>
      <c r="I81" s="182"/>
      <c r="J81" s="182"/>
      <c r="K81" s="182"/>
      <c r="L81" s="182"/>
      <c r="M81" s="182"/>
      <c r="N81" s="182"/>
      <c r="O81" s="182"/>
      <c r="P81" s="182"/>
      <c r="Q81" s="182"/>
    </row>
  </sheetData>
  <phoneticPr fontId="6" type="noConversion"/>
  <pageMargins left="0.7" right="0.7" top="0.75" bottom="0.75" header="0.3" footer="0.3"/>
  <pageSetup paperSize="9" scale="34" orientation="portrait" r:id="rId1"/>
  <colBreaks count="1" manualBreakCount="1">
    <brk id="34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B0986-349B-4B1A-860F-2315B64A4EE8}">
  <dimension ref="A1:D17"/>
  <sheetViews>
    <sheetView view="pageBreakPreview" zoomScale="154" zoomScaleNormal="115" zoomScaleSheetLayoutView="154" workbookViewId="0">
      <selection activeCell="C21" sqref="C21"/>
    </sheetView>
  </sheetViews>
  <sheetFormatPr defaultRowHeight="12.75"/>
  <cols>
    <col min="1" max="1" width="8.6640625" customWidth="1"/>
    <col min="2" max="2" width="21.5" customWidth="1"/>
    <col min="3" max="3" width="31.33203125" customWidth="1"/>
  </cols>
  <sheetData>
    <row r="1" spans="1:4" ht="52.5" customHeight="1">
      <c r="A1" s="304" t="s">
        <v>169</v>
      </c>
      <c r="B1" s="304"/>
      <c r="C1" s="304"/>
    </row>
    <row r="3" spans="1:4" ht="26.45" customHeight="1">
      <c r="A3" s="11" t="s">
        <v>129</v>
      </c>
      <c r="B3" s="11" t="s">
        <v>128</v>
      </c>
      <c r="C3" s="11" t="s">
        <v>18</v>
      </c>
    </row>
    <row r="4" spans="1:4" ht="18.600000000000001" customHeight="1">
      <c r="A4" s="48">
        <v>1</v>
      </c>
      <c r="B4" s="72">
        <v>45748</v>
      </c>
      <c r="C4" s="46">
        <f>'Details MC1 '!F78</f>
        <v>55200</v>
      </c>
    </row>
    <row r="5" spans="1:4" ht="18.600000000000001" customHeight="1">
      <c r="A5" s="48">
        <v>2</v>
      </c>
      <c r="B5" s="72">
        <v>45778</v>
      </c>
      <c r="C5" s="46">
        <f>'Details MC1 '!H78</f>
        <v>55200</v>
      </c>
    </row>
    <row r="6" spans="1:4" ht="18.600000000000001" customHeight="1">
      <c r="A6" s="48">
        <v>3</v>
      </c>
      <c r="B6" s="72">
        <v>45809</v>
      </c>
      <c r="C6" s="46">
        <f>'Details MC1 '!J78</f>
        <v>54100</v>
      </c>
    </row>
    <row r="7" spans="1:4" ht="18.600000000000001" customHeight="1">
      <c r="A7" s="48">
        <v>4</v>
      </c>
      <c r="B7" s="72">
        <v>45839</v>
      </c>
      <c r="C7" s="46">
        <f>'Details MC1 '!L78</f>
        <v>71300</v>
      </c>
    </row>
    <row r="8" spans="1:4" ht="18.600000000000001" customHeight="1">
      <c r="A8" s="48">
        <v>5</v>
      </c>
      <c r="B8" s="72">
        <v>45870</v>
      </c>
      <c r="C8" s="46">
        <f>'Details MC1 '!N78</f>
        <v>57700</v>
      </c>
    </row>
    <row r="9" spans="1:4" ht="18.600000000000001" customHeight="1">
      <c r="A9" s="48">
        <v>6</v>
      </c>
      <c r="B9" s="72">
        <v>45901</v>
      </c>
      <c r="C9" s="46">
        <f>'Details MC1 '!P78</f>
        <v>57700</v>
      </c>
    </row>
    <row r="10" spans="1:4" ht="18.600000000000001" customHeight="1">
      <c r="A10" s="48">
        <v>7</v>
      </c>
      <c r="B10" s="47">
        <v>45931</v>
      </c>
      <c r="C10" s="46">
        <f>'Details MC1 '!R78</f>
        <v>78900</v>
      </c>
      <c r="D10" s="120" t="s">
        <v>127</v>
      </c>
    </row>
    <row r="11" spans="1:4" ht="18.600000000000001" customHeight="1">
      <c r="A11" s="48">
        <v>8</v>
      </c>
      <c r="B11" s="47">
        <v>45962</v>
      </c>
      <c r="C11" s="46">
        <f>'Details MC1 '!T78</f>
        <v>68500</v>
      </c>
    </row>
    <row r="12" spans="1:4" ht="18.600000000000001" customHeight="1">
      <c r="A12" s="48">
        <v>9</v>
      </c>
      <c r="B12" s="47">
        <v>45992</v>
      </c>
      <c r="C12" s="46">
        <f>'Details MC1 '!V78</f>
        <v>71000</v>
      </c>
    </row>
    <row r="13" spans="1:4" ht="15.75">
      <c r="A13" s="48">
        <v>10</v>
      </c>
      <c r="B13" s="47">
        <v>46023</v>
      </c>
      <c r="C13" s="46">
        <f>'Details MC1 '!X78</f>
        <v>65800</v>
      </c>
    </row>
    <row r="14" spans="1:4" ht="15.75">
      <c r="A14" s="48">
        <v>11</v>
      </c>
      <c r="B14" s="47">
        <v>46054</v>
      </c>
      <c r="C14" s="48">
        <f>'Details MC1 '!Z78</f>
        <v>66000</v>
      </c>
    </row>
    <row r="15" spans="1:4" ht="15.75">
      <c r="A15" s="129">
        <v>12</v>
      </c>
      <c r="B15" s="47">
        <v>46082</v>
      </c>
      <c r="C15" s="48">
        <f>'Details MC1 '!AB78</f>
        <v>66000</v>
      </c>
    </row>
    <row r="16" spans="1:4" ht="15.75">
      <c r="A16" s="129">
        <v>13</v>
      </c>
      <c r="B16" s="47">
        <v>46113</v>
      </c>
      <c r="C16" s="48">
        <f>'Details MC1 '!AD78</f>
        <v>66000</v>
      </c>
    </row>
    <row r="17" spans="1:3" ht="15.75">
      <c r="A17" s="129">
        <v>14</v>
      </c>
      <c r="B17" s="47">
        <v>46143</v>
      </c>
      <c r="C17" s="48">
        <f>'Details MC1 '!AF78</f>
        <v>64800</v>
      </c>
    </row>
  </sheetData>
  <mergeCells count="1">
    <mergeCell ref="A1:C1"/>
  </mergeCells>
  <pageMargins left="0.7" right="0.7" top="0.75" bottom="0.75" header="0.3" footer="0.3"/>
  <pageSetup paperSize="9" scale="12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1D33-6CDF-4F26-B97B-E4FC71263824}">
  <dimension ref="A1:BA137"/>
  <sheetViews>
    <sheetView zoomScale="60" zoomScaleNormal="60" zoomScaleSheetLayoutView="85" workbookViewId="0">
      <selection activeCell="I24" sqref="I24"/>
    </sheetView>
  </sheetViews>
  <sheetFormatPr defaultRowHeight="12.75"/>
  <cols>
    <col min="1" max="1" width="8.1640625" customWidth="1"/>
    <col min="2" max="2" width="58.1640625" customWidth="1"/>
    <col min="3" max="3" width="12.1640625" customWidth="1"/>
    <col min="4" max="4" width="11.1640625" customWidth="1"/>
    <col min="5" max="16" width="14.5" customWidth="1"/>
    <col min="17" max="17" width="18.83203125" customWidth="1"/>
    <col min="18" max="20" width="14.5" customWidth="1"/>
    <col min="21" max="21" width="18.83203125" customWidth="1"/>
    <col min="22" max="24" width="14.5" customWidth="1"/>
    <col min="25" max="25" width="18.83203125" customWidth="1"/>
    <col min="26" max="28" width="14.5" customWidth="1"/>
    <col min="29" max="29" width="18.83203125" customWidth="1"/>
    <col min="30" max="32" width="14.5" customWidth="1"/>
    <col min="33" max="33" width="18.83203125" customWidth="1"/>
    <col min="34" max="36" width="14.5" customWidth="1"/>
    <col min="37" max="37" width="18.83203125" customWidth="1"/>
    <col min="38" max="40" width="14.5" customWidth="1"/>
    <col min="41" max="41" width="18.83203125" customWidth="1"/>
    <col min="42" max="44" width="14.5" customWidth="1"/>
    <col min="45" max="45" width="18.83203125" customWidth="1"/>
    <col min="46" max="48" width="14.5" customWidth="1"/>
    <col min="49" max="49" width="18.83203125" customWidth="1"/>
    <col min="50" max="52" width="14.5" customWidth="1"/>
    <col min="53" max="53" width="22.1640625" customWidth="1"/>
  </cols>
  <sheetData>
    <row r="1" spans="1:53" ht="29.1" customHeight="1">
      <c r="A1" s="307" t="s">
        <v>140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</row>
    <row r="2" spans="1:53" ht="31.5" customHeight="1">
      <c r="A2" s="309" t="s">
        <v>141</v>
      </c>
      <c r="B2" s="311" t="s">
        <v>142</v>
      </c>
      <c r="C2" s="312" t="s">
        <v>143</v>
      </c>
      <c r="D2" s="313"/>
      <c r="E2" s="314" t="s">
        <v>144</v>
      </c>
      <c r="F2" s="315"/>
      <c r="G2" s="316"/>
      <c r="H2" s="312" t="s">
        <v>145</v>
      </c>
      <c r="I2" s="313"/>
      <c r="J2" s="317"/>
      <c r="K2" s="314" t="s">
        <v>146</v>
      </c>
      <c r="L2" s="315"/>
      <c r="M2" s="316"/>
      <c r="N2" s="312" t="s">
        <v>147</v>
      </c>
      <c r="O2" s="313"/>
      <c r="P2" s="313"/>
      <c r="Q2" s="317"/>
      <c r="R2" s="314" t="s">
        <v>168</v>
      </c>
      <c r="S2" s="315"/>
      <c r="T2" s="315"/>
      <c r="U2" s="315"/>
      <c r="V2" s="305" t="s">
        <v>182</v>
      </c>
      <c r="W2" s="306"/>
      <c r="X2" s="306"/>
      <c r="Y2" s="306"/>
      <c r="Z2" s="305" t="s">
        <v>187</v>
      </c>
      <c r="AA2" s="306"/>
      <c r="AB2" s="306"/>
      <c r="AC2" s="306"/>
      <c r="AD2" s="305" t="s">
        <v>188</v>
      </c>
      <c r="AE2" s="306"/>
      <c r="AF2" s="306"/>
      <c r="AG2" s="306"/>
      <c r="AH2" s="305" t="s">
        <v>190</v>
      </c>
      <c r="AI2" s="306"/>
      <c r="AJ2" s="306"/>
      <c r="AK2" s="306"/>
      <c r="AL2" s="305" t="s">
        <v>215</v>
      </c>
      <c r="AM2" s="306"/>
      <c r="AN2" s="306"/>
      <c r="AO2" s="306"/>
      <c r="AP2" s="305" t="s">
        <v>216</v>
      </c>
      <c r="AQ2" s="306"/>
      <c r="AR2" s="306"/>
      <c r="AS2" s="306"/>
      <c r="AT2" s="305" t="s">
        <v>226</v>
      </c>
      <c r="AU2" s="306"/>
      <c r="AV2" s="306"/>
      <c r="AW2" s="306"/>
      <c r="AX2" s="305" t="s">
        <v>227</v>
      </c>
      <c r="AY2" s="306"/>
      <c r="AZ2" s="306"/>
      <c r="BA2" s="306"/>
    </row>
    <row r="3" spans="1:53" ht="45.75" customHeight="1">
      <c r="A3" s="310"/>
      <c r="B3" s="311"/>
      <c r="C3" s="76" t="s">
        <v>149</v>
      </c>
      <c r="D3" s="76" t="s">
        <v>150</v>
      </c>
      <c r="E3" s="76" t="s">
        <v>149</v>
      </c>
      <c r="F3" s="76" t="s">
        <v>150</v>
      </c>
      <c r="G3" s="76" t="s">
        <v>170</v>
      </c>
      <c r="H3" s="76" t="s">
        <v>149</v>
      </c>
      <c r="I3" s="76" t="s">
        <v>150</v>
      </c>
      <c r="J3" s="76" t="s">
        <v>148</v>
      </c>
      <c r="K3" s="76" t="s">
        <v>149</v>
      </c>
      <c r="L3" s="76" t="s">
        <v>150</v>
      </c>
      <c r="M3" s="76" t="s">
        <v>170</v>
      </c>
      <c r="N3" s="76" t="s">
        <v>149</v>
      </c>
      <c r="O3" s="77" t="s">
        <v>150</v>
      </c>
      <c r="P3" s="76" t="s">
        <v>170</v>
      </c>
      <c r="Q3" s="103" t="s">
        <v>148</v>
      </c>
      <c r="R3" s="76" t="s">
        <v>149</v>
      </c>
      <c r="S3" s="77" t="s">
        <v>150</v>
      </c>
      <c r="T3" s="76" t="s">
        <v>170</v>
      </c>
      <c r="U3" s="103" t="s">
        <v>148</v>
      </c>
      <c r="V3" s="76" t="s">
        <v>149</v>
      </c>
      <c r="W3" s="77" t="s">
        <v>150</v>
      </c>
      <c r="X3" s="76" t="s">
        <v>170</v>
      </c>
      <c r="Y3" s="103" t="s">
        <v>148</v>
      </c>
      <c r="Z3" s="76" t="s">
        <v>149</v>
      </c>
      <c r="AA3" s="77" t="s">
        <v>150</v>
      </c>
      <c r="AB3" s="76" t="s">
        <v>170</v>
      </c>
      <c r="AC3" s="103" t="s">
        <v>148</v>
      </c>
      <c r="AD3" s="76" t="s">
        <v>149</v>
      </c>
      <c r="AE3" s="77" t="s">
        <v>150</v>
      </c>
      <c r="AF3" s="76" t="s">
        <v>170</v>
      </c>
      <c r="AG3" s="103" t="s">
        <v>148</v>
      </c>
      <c r="AH3" s="76" t="s">
        <v>149</v>
      </c>
      <c r="AI3" s="77" t="s">
        <v>150</v>
      </c>
      <c r="AJ3" s="76" t="s">
        <v>170</v>
      </c>
      <c r="AK3" s="103" t="s">
        <v>148</v>
      </c>
      <c r="AL3" s="76" t="s">
        <v>149</v>
      </c>
      <c r="AM3" s="77" t="s">
        <v>150</v>
      </c>
      <c r="AN3" s="76" t="s">
        <v>170</v>
      </c>
      <c r="AO3" s="103" t="s">
        <v>148</v>
      </c>
      <c r="AP3" s="76" t="s">
        <v>149</v>
      </c>
      <c r="AQ3" s="77" t="s">
        <v>150</v>
      </c>
      <c r="AR3" s="76" t="s">
        <v>170</v>
      </c>
      <c r="AS3" s="103" t="s">
        <v>148</v>
      </c>
      <c r="AT3" s="76" t="s">
        <v>149</v>
      </c>
      <c r="AU3" s="77" t="s">
        <v>150</v>
      </c>
      <c r="AV3" s="76" t="s">
        <v>170</v>
      </c>
      <c r="AW3" s="103" t="s">
        <v>148</v>
      </c>
      <c r="AX3" s="76" t="s">
        <v>149</v>
      </c>
      <c r="AY3" s="77" t="s">
        <v>150</v>
      </c>
      <c r="AZ3" s="76" t="s">
        <v>170</v>
      </c>
      <c r="BA3" s="103" t="s">
        <v>148</v>
      </c>
    </row>
    <row r="4" spans="1:53" ht="44.45" customHeight="1">
      <c r="A4" s="78">
        <v>1</v>
      </c>
      <c r="B4" s="79" t="s">
        <v>151</v>
      </c>
      <c r="C4" s="80"/>
      <c r="D4" s="81"/>
      <c r="E4" s="82"/>
      <c r="F4" s="83"/>
      <c r="G4" s="83"/>
      <c r="H4" s="82"/>
      <c r="I4" s="83"/>
      <c r="J4" s="83"/>
      <c r="K4" s="84">
        <v>5500</v>
      </c>
      <c r="L4" s="104">
        <v>45843</v>
      </c>
      <c r="M4" s="104"/>
      <c r="N4" s="112">
        <v>5500</v>
      </c>
      <c r="O4" s="104">
        <v>45874</v>
      </c>
      <c r="P4" s="104"/>
      <c r="Q4" s="85"/>
      <c r="R4" s="113">
        <v>5500</v>
      </c>
      <c r="S4" s="104">
        <v>45905</v>
      </c>
      <c r="T4" s="104"/>
      <c r="U4" s="85"/>
      <c r="V4" s="113">
        <v>4950</v>
      </c>
      <c r="W4" s="104">
        <v>45938</v>
      </c>
      <c r="X4" s="104"/>
      <c r="Y4" s="85"/>
      <c r="Z4" s="113">
        <v>5340</v>
      </c>
      <c r="AA4" s="104" t="s">
        <v>191</v>
      </c>
      <c r="AB4" s="104"/>
      <c r="AC4" s="85" t="s">
        <v>192</v>
      </c>
      <c r="AD4" s="113">
        <v>5500</v>
      </c>
      <c r="AE4" s="104" t="s">
        <v>200</v>
      </c>
      <c r="AF4" s="104"/>
      <c r="AG4" s="85"/>
      <c r="AH4" s="113">
        <v>5323</v>
      </c>
      <c r="AI4" s="104" t="s">
        <v>208</v>
      </c>
      <c r="AJ4" s="104"/>
      <c r="AK4" s="85"/>
      <c r="AL4" s="113">
        <v>8430</v>
      </c>
      <c r="AM4" s="104">
        <v>46063</v>
      </c>
      <c r="AN4" s="104"/>
      <c r="AO4" s="85"/>
      <c r="AP4" s="113">
        <v>10180</v>
      </c>
      <c r="AQ4" s="104">
        <v>46100</v>
      </c>
      <c r="AR4" s="104"/>
      <c r="AS4" s="85"/>
      <c r="AT4" s="113">
        <v>11000</v>
      </c>
      <c r="AU4" s="104">
        <v>46130</v>
      </c>
      <c r="AV4" s="104"/>
      <c r="AW4" s="85"/>
      <c r="AX4" s="113">
        <v>10267</v>
      </c>
      <c r="AY4" s="104">
        <v>46157</v>
      </c>
      <c r="AZ4" s="104"/>
      <c r="BA4" s="85"/>
    </row>
    <row r="5" spans="1:53" ht="44.45" customHeight="1">
      <c r="A5" s="86">
        <v>2</v>
      </c>
      <c r="B5" s="87" t="s">
        <v>171</v>
      </c>
      <c r="C5" s="80"/>
      <c r="D5" s="81"/>
      <c r="E5" s="82"/>
      <c r="F5" s="83"/>
      <c r="G5" s="83"/>
      <c r="H5" s="82"/>
      <c r="I5" s="83"/>
      <c r="J5" s="83"/>
      <c r="K5" s="84">
        <v>5000</v>
      </c>
      <c r="L5" s="104">
        <v>45843</v>
      </c>
      <c r="M5" s="104"/>
      <c r="N5" s="112">
        <v>10000</v>
      </c>
      <c r="O5" s="104">
        <v>45874</v>
      </c>
      <c r="P5" s="104"/>
      <c r="Q5" s="85"/>
      <c r="R5" s="112">
        <v>9190</v>
      </c>
      <c r="S5" s="104">
        <v>45905</v>
      </c>
      <c r="T5" s="104"/>
      <c r="U5" s="85"/>
      <c r="V5" s="112">
        <v>9300</v>
      </c>
      <c r="W5" s="104">
        <v>45938</v>
      </c>
      <c r="X5" s="104"/>
      <c r="Y5" s="85"/>
      <c r="Z5" s="112">
        <v>10000</v>
      </c>
      <c r="AA5" s="104" t="s">
        <v>191</v>
      </c>
      <c r="AB5" s="104"/>
      <c r="AC5" s="85"/>
      <c r="AD5" s="112">
        <v>15000</v>
      </c>
      <c r="AE5" s="104" t="s">
        <v>198</v>
      </c>
      <c r="AF5" s="104"/>
      <c r="AG5" s="85" t="s">
        <v>199</v>
      </c>
      <c r="AH5" s="112">
        <v>15000</v>
      </c>
      <c r="AI5" s="104" t="s">
        <v>208</v>
      </c>
      <c r="AJ5" s="104"/>
      <c r="AK5" s="85"/>
      <c r="AL5" s="112">
        <v>15000</v>
      </c>
      <c r="AM5" s="104">
        <v>46063</v>
      </c>
      <c r="AN5" s="104"/>
      <c r="AO5" s="85" t="s">
        <v>228</v>
      </c>
      <c r="AP5" s="112">
        <v>15000</v>
      </c>
      <c r="AQ5" s="104">
        <v>46100</v>
      </c>
      <c r="AR5" s="104"/>
      <c r="AS5" s="85" t="s">
        <v>229</v>
      </c>
      <c r="AT5" s="112">
        <v>15000</v>
      </c>
      <c r="AU5" s="104">
        <v>46130</v>
      </c>
      <c r="AV5" s="104"/>
      <c r="AW5" s="85"/>
      <c r="AX5" s="112">
        <v>15000</v>
      </c>
      <c r="AY5" s="104">
        <v>46157</v>
      </c>
      <c r="AZ5" s="104"/>
      <c r="BA5" s="85"/>
    </row>
    <row r="6" spans="1:53" ht="44.45" customHeight="1">
      <c r="A6" s="86">
        <v>3</v>
      </c>
      <c r="B6" s="87" t="s">
        <v>152</v>
      </c>
      <c r="C6" s="80"/>
      <c r="D6" s="81"/>
      <c r="E6" s="82"/>
      <c r="F6" s="88"/>
      <c r="G6" s="88"/>
      <c r="H6" s="82">
        <v>1500</v>
      </c>
      <c r="I6" s="104">
        <v>45810</v>
      </c>
      <c r="J6" s="104"/>
      <c r="K6" s="82">
        <v>1500</v>
      </c>
      <c r="L6" s="104">
        <v>45842</v>
      </c>
      <c r="M6" s="104"/>
      <c r="N6" s="112">
        <v>1500</v>
      </c>
      <c r="O6" s="104">
        <v>45872</v>
      </c>
      <c r="P6" s="104"/>
      <c r="Q6" s="85"/>
      <c r="R6" s="112">
        <v>1500</v>
      </c>
      <c r="S6" s="104">
        <v>45903</v>
      </c>
      <c r="T6" s="104"/>
      <c r="U6" s="85"/>
      <c r="V6" s="112">
        <v>1500</v>
      </c>
      <c r="W6" s="104">
        <v>45931</v>
      </c>
      <c r="X6" s="104"/>
      <c r="Y6" s="85"/>
      <c r="Z6" s="112">
        <v>2000</v>
      </c>
      <c r="AA6" s="104" t="s">
        <v>193</v>
      </c>
      <c r="AB6" s="104"/>
      <c r="AC6" s="85"/>
      <c r="AD6" s="112">
        <v>2000</v>
      </c>
      <c r="AE6" s="104" t="s">
        <v>201</v>
      </c>
      <c r="AF6" s="104"/>
      <c r="AG6" s="85"/>
      <c r="AH6" s="112">
        <v>2000</v>
      </c>
      <c r="AI6" s="104">
        <v>46025</v>
      </c>
      <c r="AJ6" s="104"/>
      <c r="AK6" s="85"/>
      <c r="AL6" s="112">
        <v>2000</v>
      </c>
      <c r="AM6" s="104">
        <v>46055</v>
      </c>
      <c r="AN6" s="104"/>
      <c r="AO6" s="85"/>
      <c r="AP6" s="112">
        <v>2500</v>
      </c>
      <c r="AQ6" s="104">
        <v>46082</v>
      </c>
      <c r="AR6" s="104"/>
      <c r="AS6" s="90" t="s">
        <v>223</v>
      </c>
      <c r="AT6" s="112">
        <f>1500+1000</f>
        <v>2500</v>
      </c>
      <c r="AU6" s="104">
        <v>46113</v>
      </c>
      <c r="AV6" s="104"/>
      <c r="AW6" s="90" t="s">
        <v>236</v>
      </c>
      <c r="AX6" s="112">
        <v>3000</v>
      </c>
      <c r="AY6" s="104">
        <v>46146</v>
      </c>
      <c r="AZ6" s="104"/>
      <c r="BA6" s="90" t="s">
        <v>239</v>
      </c>
    </row>
    <row r="7" spans="1:53" ht="56.1" customHeight="1">
      <c r="A7" s="86">
        <v>4</v>
      </c>
      <c r="B7" s="87" t="s">
        <v>153</v>
      </c>
      <c r="C7" s="80"/>
      <c r="D7" s="81"/>
      <c r="E7" s="82">
        <v>15940</v>
      </c>
      <c r="F7" s="104">
        <v>45790</v>
      </c>
      <c r="G7" s="104"/>
      <c r="H7" s="82">
        <f>18393+226</f>
        <v>18619</v>
      </c>
      <c r="I7" s="89">
        <v>45817</v>
      </c>
      <c r="J7" s="90" t="s">
        <v>154</v>
      </c>
      <c r="K7" s="84">
        <v>12293</v>
      </c>
      <c r="L7" s="104">
        <v>45847</v>
      </c>
      <c r="M7" s="104"/>
      <c r="N7" s="113">
        <v>10010</v>
      </c>
      <c r="O7" s="104">
        <v>45871</v>
      </c>
      <c r="P7" s="104"/>
      <c r="Q7" s="90"/>
      <c r="R7" s="113">
        <v>20526</v>
      </c>
      <c r="S7" s="104">
        <v>45902</v>
      </c>
      <c r="T7" s="104"/>
      <c r="U7" s="90"/>
      <c r="V7" s="113">
        <v>19242</v>
      </c>
      <c r="W7" s="104">
        <v>45936</v>
      </c>
      <c r="X7" s="104"/>
      <c r="Y7" s="90"/>
      <c r="Z7" s="113">
        <v>15366</v>
      </c>
      <c r="AA7" s="104" t="s">
        <v>191</v>
      </c>
      <c r="AB7" s="104"/>
      <c r="AC7" s="90"/>
      <c r="AD7" s="113">
        <v>22913</v>
      </c>
      <c r="AE7" s="104" t="s">
        <v>202</v>
      </c>
      <c r="AF7" s="104"/>
      <c r="AG7" s="90"/>
      <c r="AH7" s="113">
        <v>18237</v>
      </c>
      <c r="AI7" s="104">
        <v>46048</v>
      </c>
      <c r="AJ7" s="104"/>
      <c r="AK7" s="90"/>
      <c r="AL7" s="113">
        <v>15635</v>
      </c>
      <c r="AM7" s="104">
        <v>46069</v>
      </c>
      <c r="AN7" s="104"/>
      <c r="AO7" s="90"/>
      <c r="AP7" s="113">
        <v>17286</v>
      </c>
      <c r="AQ7" s="126">
        <v>46082</v>
      </c>
      <c r="AR7" s="104"/>
      <c r="AS7" s="90"/>
      <c r="AT7" s="113">
        <v>12248</v>
      </c>
      <c r="AU7" s="133">
        <v>46132</v>
      </c>
      <c r="AV7" s="104"/>
      <c r="AW7" s="90"/>
      <c r="AX7" s="113">
        <v>19906</v>
      </c>
      <c r="AY7" s="133">
        <v>46154</v>
      </c>
      <c r="AZ7" s="104"/>
      <c r="BA7" s="90"/>
    </row>
    <row r="8" spans="1:53" ht="44.45" customHeight="1">
      <c r="A8" s="86">
        <v>5</v>
      </c>
      <c r="B8" s="91" t="s">
        <v>155</v>
      </c>
      <c r="C8" s="80"/>
      <c r="D8" s="81"/>
      <c r="E8" s="82">
        <v>5000</v>
      </c>
      <c r="F8" s="104">
        <v>45796</v>
      </c>
      <c r="G8" s="104"/>
      <c r="H8" s="82"/>
      <c r="I8" s="83"/>
      <c r="J8" s="83"/>
      <c r="K8" s="92">
        <v>4570</v>
      </c>
      <c r="L8" s="104">
        <v>45843</v>
      </c>
      <c r="M8" s="104"/>
      <c r="N8" s="82"/>
      <c r="O8" s="104"/>
      <c r="P8" s="104"/>
      <c r="Q8" s="85"/>
      <c r="R8" s="112">
        <v>5731</v>
      </c>
      <c r="S8" s="104">
        <v>45903</v>
      </c>
      <c r="T8" s="104"/>
      <c r="U8" s="85"/>
      <c r="V8" s="112"/>
      <c r="W8" s="104"/>
      <c r="X8" s="104"/>
      <c r="Y8" s="85"/>
      <c r="Z8" s="112"/>
      <c r="AA8" s="104"/>
      <c r="AB8" s="104"/>
      <c r="AC8" s="85"/>
      <c r="AD8" s="112">
        <f>1800+5194</f>
        <v>6994</v>
      </c>
      <c r="AE8" s="114" t="s">
        <v>204</v>
      </c>
      <c r="AF8" s="104"/>
      <c r="AG8" s="85" t="s">
        <v>203</v>
      </c>
      <c r="AH8" s="112">
        <v>15574</v>
      </c>
      <c r="AI8" s="104">
        <v>46035</v>
      </c>
      <c r="AJ8" s="104"/>
      <c r="AK8" s="85" t="s">
        <v>209</v>
      </c>
      <c r="AL8" s="112"/>
      <c r="AM8" s="104"/>
      <c r="AN8" s="104"/>
      <c r="AO8" s="85"/>
      <c r="AP8" s="112">
        <v>7384</v>
      </c>
      <c r="AQ8" s="126">
        <v>46091</v>
      </c>
      <c r="AR8" s="104"/>
      <c r="AS8" s="125" t="s">
        <v>224</v>
      </c>
      <c r="AT8" s="112"/>
      <c r="AU8" s="126"/>
      <c r="AV8" s="104"/>
      <c r="AW8" s="125"/>
      <c r="AX8" s="112"/>
      <c r="AY8" s="126"/>
      <c r="AZ8" s="104"/>
      <c r="BA8" s="125"/>
    </row>
    <row r="9" spans="1:53" ht="33" customHeight="1">
      <c r="A9" s="137">
        <v>6</v>
      </c>
      <c r="B9" s="136" t="s">
        <v>156</v>
      </c>
      <c r="C9" s="140"/>
      <c r="D9" s="143"/>
      <c r="E9" s="146">
        <v>2593</v>
      </c>
      <c r="F9" s="149">
        <v>45808</v>
      </c>
      <c r="G9" s="149"/>
      <c r="H9" s="146"/>
      <c r="I9" s="155"/>
      <c r="J9" s="155"/>
      <c r="K9" s="146">
        <v>223</v>
      </c>
      <c r="L9" s="152">
        <v>45857</v>
      </c>
      <c r="M9" s="152"/>
      <c r="N9" s="146">
        <v>155</v>
      </c>
      <c r="O9" s="152">
        <v>45882</v>
      </c>
      <c r="P9" s="104"/>
      <c r="Q9" s="90"/>
      <c r="R9" s="112">
        <v>140</v>
      </c>
      <c r="S9" s="104">
        <v>45908</v>
      </c>
      <c r="T9" s="104"/>
      <c r="U9" s="90" t="s">
        <v>172</v>
      </c>
      <c r="V9" s="112">
        <v>540</v>
      </c>
      <c r="W9" s="104">
        <v>45937</v>
      </c>
      <c r="X9" s="104"/>
      <c r="Y9" s="104" t="s">
        <v>183</v>
      </c>
      <c r="Z9" s="112"/>
      <c r="AA9" s="104"/>
      <c r="AB9" s="104"/>
      <c r="AC9" s="104"/>
      <c r="AD9" s="112">
        <f>1716+565</f>
        <v>2281</v>
      </c>
      <c r="AE9" s="114" t="s">
        <v>205</v>
      </c>
      <c r="AF9" s="104"/>
      <c r="AG9" s="85" t="s">
        <v>206</v>
      </c>
      <c r="AH9" s="112">
        <v>1128</v>
      </c>
      <c r="AI9" s="104">
        <v>46053</v>
      </c>
      <c r="AJ9" s="104"/>
      <c r="AK9" s="104"/>
      <c r="AL9" s="112"/>
      <c r="AM9" s="104"/>
      <c r="AN9" s="104"/>
      <c r="AO9" s="104"/>
      <c r="AP9" s="112">
        <f>496+523</f>
        <v>1019</v>
      </c>
      <c r="AQ9" s="104">
        <v>46093</v>
      </c>
      <c r="AR9" s="104"/>
      <c r="AS9" s="104" t="s">
        <v>234</v>
      </c>
      <c r="AT9" s="112">
        <f>100+350</f>
        <v>450</v>
      </c>
      <c r="AU9" s="104">
        <v>46103</v>
      </c>
      <c r="AV9" s="104"/>
      <c r="AW9" s="90" t="s">
        <v>237</v>
      </c>
      <c r="AX9" s="112">
        <v>194</v>
      </c>
      <c r="AY9" s="104">
        <v>46153</v>
      </c>
      <c r="AZ9" s="104"/>
      <c r="BA9" s="104" t="s">
        <v>233</v>
      </c>
    </row>
    <row r="10" spans="1:53" ht="58.5" customHeight="1">
      <c r="A10" s="138"/>
      <c r="B10" s="136" t="s">
        <v>156</v>
      </c>
      <c r="C10" s="141"/>
      <c r="D10" s="144"/>
      <c r="E10" s="147"/>
      <c r="F10" s="150"/>
      <c r="G10" s="150"/>
      <c r="H10" s="147"/>
      <c r="I10" s="156"/>
      <c r="J10" s="156"/>
      <c r="K10" s="147"/>
      <c r="L10" s="153"/>
      <c r="M10" s="153"/>
      <c r="N10" s="148"/>
      <c r="O10" s="154"/>
      <c r="P10" s="104"/>
      <c r="Q10" s="90" t="s">
        <v>157</v>
      </c>
      <c r="R10" s="112">
        <v>936</v>
      </c>
      <c r="S10" s="104">
        <v>45925</v>
      </c>
      <c r="T10" s="104"/>
      <c r="U10" s="90" t="s">
        <v>173</v>
      </c>
      <c r="V10" s="112">
        <v>210</v>
      </c>
      <c r="W10" s="104">
        <v>45938</v>
      </c>
      <c r="X10" s="104"/>
      <c r="Y10" s="104" t="s">
        <v>184</v>
      </c>
      <c r="Z10" s="112"/>
      <c r="AA10" s="104"/>
      <c r="AB10" s="104"/>
      <c r="AC10" s="104"/>
      <c r="AD10" s="112">
        <v>55</v>
      </c>
      <c r="AE10" s="104" t="s">
        <v>207</v>
      </c>
      <c r="AF10" s="104"/>
      <c r="AG10" s="104" t="s">
        <v>184</v>
      </c>
      <c r="AH10" s="112">
        <v>220</v>
      </c>
      <c r="AI10" s="104">
        <v>46038</v>
      </c>
      <c r="AJ10" s="104"/>
      <c r="AK10" s="114" t="s">
        <v>210</v>
      </c>
      <c r="AL10" s="112">
        <v>405</v>
      </c>
      <c r="AM10" s="104">
        <v>46076</v>
      </c>
      <c r="AN10" s="104"/>
      <c r="AO10" s="114" t="s">
        <v>221</v>
      </c>
      <c r="AP10" s="112"/>
      <c r="AQ10" s="104"/>
      <c r="AR10" s="104"/>
      <c r="AS10" s="114"/>
      <c r="AT10" s="112"/>
      <c r="AU10" s="104"/>
      <c r="AV10" s="104"/>
      <c r="AW10" s="114"/>
      <c r="AX10" s="112"/>
      <c r="AY10" s="104"/>
      <c r="AZ10" s="104"/>
      <c r="BA10" s="114"/>
    </row>
    <row r="11" spans="1:53" ht="73.5" customHeight="1">
      <c r="A11" s="138"/>
      <c r="B11" s="136" t="s">
        <v>156</v>
      </c>
      <c r="C11" s="141"/>
      <c r="D11" s="144"/>
      <c r="E11" s="147"/>
      <c r="F11" s="150"/>
      <c r="G11" s="150"/>
      <c r="H11" s="147"/>
      <c r="I11" s="156"/>
      <c r="J11" s="156"/>
      <c r="K11" s="147"/>
      <c r="L11" s="153"/>
      <c r="M11" s="153"/>
      <c r="N11" s="82">
        <v>525</v>
      </c>
      <c r="O11" s="104">
        <v>45883</v>
      </c>
      <c r="P11" s="104"/>
      <c r="Q11" s="90" t="s">
        <v>158</v>
      </c>
      <c r="R11" s="82"/>
      <c r="S11" s="104"/>
      <c r="T11" s="104"/>
      <c r="U11" s="90"/>
      <c r="V11" s="82">
        <v>5700</v>
      </c>
      <c r="W11" s="104"/>
      <c r="X11" s="104"/>
      <c r="Y11" s="114" t="s">
        <v>186</v>
      </c>
      <c r="Z11" s="82"/>
      <c r="AA11" s="104"/>
      <c r="AB11" s="104"/>
      <c r="AC11" s="114"/>
      <c r="AD11" s="82"/>
      <c r="AE11" s="104"/>
      <c r="AF11" s="104"/>
      <c r="AG11" s="114"/>
      <c r="AH11" s="82">
        <v>200</v>
      </c>
      <c r="AI11" s="104">
        <v>46039</v>
      </c>
      <c r="AJ11" s="104"/>
      <c r="AK11" s="114" t="s">
        <v>211</v>
      </c>
      <c r="AL11" s="82">
        <v>767</v>
      </c>
      <c r="AM11" s="104">
        <v>46075</v>
      </c>
      <c r="AN11" s="104"/>
      <c r="AO11" s="114" t="s">
        <v>222</v>
      </c>
      <c r="AP11" s="82"/>
      <c r="AQ11" s="104"/>
      <c r="AR11" s="104"/>
      <c r="AS11" s="114"/>
      <c r="AT11" s="112"/>
      <c r="AU11" s="104"/>
      <c r="AV11" s="104"/>
      <c r="AW11" s="114"/>
      <c r="AX11" s="82"/>
      <c r="AY11" s="104"/>
      <c r="AZ11" s="104"/>
      <c r="BA11" s="114"/>
    </row>
    <row r="12" spans="1:53" ht="44.45" customHeight="1">
      <c r="A12" s="139"/>
      <c r="B12" s="136" t="s">
        <v>156</v>
      </c>
      <c r="C12" s="142"/>
      <c r="D12" s="145"/>
      <c r="E12" s="148"/>
      <c r="F12" s="151"/>
      <c r="G12" s="151"/>
      <c r="H12" s="148"/>
      <c r="I12" s="157"/>
      <c r="J12" s="157"/>
      <c r="K12" s="148"/>
      <c r="L12" s="154"/>
      <c r="M12" s="154"/>
      <c r="N12" s="82">
        <v>376</v>
      </c>
      <c r="O12" s="104">
        <v>45885</v>
      </c>
      <c r="P12" s="104"/>
      <c r="Q12" s="90" t="s">
        <v>176</v>
      </c>
      <c r="R12" s="82"/>
      <c r="S12" s="104"/>
      <c r="T12" s="104"/>
      <c r="U12" s="90"/>
      <c r="V12" s="82"/>
      <c r="W12" s="104"/>
      <c r="X12" s="104"/>
      <c r="Y12" s="90"/>
      <c r="Z12" s="82"/>
      <c r="AA12" s="104"/>
      <c r="AB12" s="104"/>
      <c r="AC12" s="90"/>
      <c r="AD12" s="82"/>
      <c r="AE12" s="104"/>
      <c r="AF12" s="104"/>
      <c r="AG12" s="90"/>
      <c r="AH12" s="82">
        <v>200</v>
      </c>
      <c r="AI12" s="104" t="s">
        <v>212</v>
      </c>
      <c r="AJ12" s="104"/>
      <c r="AK12" s="114" t="s">
        <v>213</v>
      </c>
      <c r="AL12" s="82"/>
      <c r="AM12" s="104"/>
      <c r="AN12" s="104"/>
      <c r="AO12" s="114"/>
      <c r="AP12" s="82"/>
      <c r="AQ12" s="104"/>
      <c r="AR12" s="104"/>
      <c r="AS12" s="114"/>
      <c r="AT12" s="112"/>
      <c r="AU12" s="104"/>
      <c r="AV12" s="104"/>
      <c r="AW12" s="114"/>
      <c r="AX12" s="82"/>
      <c r="AY12" s="104"/>
      <c r="AZ12" s="104"/>
      <c r="BA12" s="114"/>
    </row>
    <row r="13" spans="1:53" ht="32.1" customHeight="1">
      <c r="A13" s="93">
        <v>7</v>
      </c>
      <c r="B13" s="79" t="s">
        <v>159</v>
      </c>
      <c r="C13" s="80"/>
      <c r="D13" s="81"/>
      <c r="E13" s="82"/>
      <c r="F13" s="89"/>
      <c r="G13" s="89"/>
      <c r="H13" s="82"/>
      <c r="I13" s="83"/>
      <c r="J13" s="83"/>
      <c r="K13" s="82">
        <v>1349</v>
      </c>
      <c r="L13" s="104">
        <v>45852</v>
      </c>
      <c r="M13" s="104"/>
      <c r="N13" s="82"/>
      <c r="O13" s="104"/>
      <c r="P13" s="104"/>
      <c r="Q13" s="90"/>
      <c r="R13" s="82"/>
      <c r="S13" s="104"/>
      <c r="T13" s="104"/>
      <c r="U13" s="90"/>
      <c r="V13" s="82"/>
      <c r="W13" s="104"/>
      <c r="X13" s="104"/>
      <c r="Y13" s="90"/>
      <c r="Z13" s="82"/>
      <c r="AA13" s="104"/>
      <c r="AB13" s="104"/>
      <c r="AC13" s="90"/>
      <c r="AD13" s="82"/>
      <c r="AE13" s="104"/>
      <c r="AF13" s="104"/>
      <c r="AG13" s="90"/>
      <c r="AH13" s="82"/>
      <c r="AI13" s="104"/>
      <c r="AJ13" s="104"/>
      <c r="AK13" s="90"/>
      <c r="AL13" s="82"/>
      <c r="AM13" s="104"/>
      <c r="AN13" s="104"/>
      <c r="AO13" s="90"/>
      <c r="AP13" s="82"/>
      <c r="AQ13" s="104"/>
      <c r="AR13" s="104"/>
      <c r="AS13" s="90"/>
      <c r="AT13" s="112"/>
      <c r="AU13" s="104"/>
      <c r="AV13" s="104"/>
      <c r="AW13" s="90"/>
      <c r="AX13" s="82"/>
      <c r="AY13" s="104"/>
      <c r="AZ13" s="104"/>
      <c r="BA13" s="90"/>
    </row>
    <row r="14" spans="1:53" ht="44.45" customHeight="1">
      <c r="A14" s="94">
        <v>8</v>
      </c>
      <c r="B14" s="95" t="s">
        <v>160</v>
      </c>
      <c r="C14" s="80"/>
      <c r="D14" s="81"/>
      <c r="E14" s="82"/>
      <c r="F14" s="83"/>
      <c r="G14" s="83"/>
      <c r="H14" s="82">
        <v>1000</v>
      </c>
      <c r="I14" s="89">
        <v>45823</v>
      </c>
      <c r="J14" s="89"/>
      <c r="K14" s="82"/>
      <c r="L14" s="104"/>
      <c r="M14" s="104"/>
      <c r="N14" s="82">
        <v>50</v>
      </c>
      <c r="O14" s="104">
        <v>45879</v>
      </c>
      <c r="P14" s="104"/>
      <c r="Q14" s="85"/>
      <c r="R14" s="82"/>
      <c r="S14" s="104"/>
      <c r="T14" s="104"/>
      <c r="U14" s="85"/>
      <c r="V14" s="82">
        <v>380</v>
      </c>
      <c r="W14" s="104">
        <v>45942</v>
      </c>
      <c r="X14" s="104"/>
      <c r="Y14" s="90" t="s">
        <v>185</v>
      </c>
      <c r="Z14" s="82"/>
      <c r="AA14" s="104"/>
      <c r="AB14" s="104"/>
      <c r="AC14" s="90"/>
      <c r="AD14" s="82"/>
      <c r="AE14" s="104"/>
      <c r="AF14" s="104"/>
      <c r="AG14" s="90"/>
      <c r="AH14" s="82"/>
      <c r="AI14" s="104"/>
      <c r="AJ14" s="104"/>
      <c r="AK14" s="90"/>
      <c r="AL14" s="82"/>
      <c r="AM14" s="104"/>
      <c r="AN14" s="104"/>
      <c r="AO14" s="90"/>
      <c r="AP14" s="82"/>
      <c r="AQ14" s="104"/>
      <c r="AR14" s="104"/>
      <c r="AS14" s="90"/>
      <c r="AT14" s="112"/>
      <c r="AU14" s="104"/>
      <c r="AV14" s="104"/>
      <c r="AW14" s="90"/>
      <c r="AX14" s="82"/>
      <c r="AY14" s="104"/>
      <c r="AZ14" s="104"/>
      <c r="BA14" s="90"/>
    </row>
    <row r="15" spans="1:53" ht="44.45" customHeight="1">
      <c r="A15" s="94">
        <v>9</v>
      </c>
      <c r="B15" s="95" t="s">
        <v>161</v>
      </c>
      <c r="C15" s="80"/>
      <c r="D15" s="81"/>
      <c r="E15" s="82"/>
      <c r="F15" s="83"/>
      <c r="G15" s="83"/>
      <c r="H15" s="82">
        <v>11500</v>
      </c>
      <c r="I15" s="89">
        <v>45835</v>
      </c>
      <c r="J15" s="89"/>
      <c r="K15" s="82"/>
      <c r="L15" s="104"/>
      <c r="M15" s="104"/>
      <c r="N15" s="82"/>
      <c r="O15" s="104"/>
      <c r="P15" s="104"/>
      <c r="Q15" s="85"/>
      <c r="R15" s="82"/>
      <c r="S15" s="104"/>
      <c r="T15" s="104"/>
      <c r="U15" s="85"/>
      <c r="V15" s="82"/>
      <c r="W15" s="104"/>
      <c r="X15" s="104"/>
      <c r="Y15" s="85"/>
      <c r="Z15" s="82"/>
      <c r="AA15" s="104"/>
      <c r="AB15" s="104"/>
      <c r="AC15" s="85"/>
      <c r="AD15" s="82"/>
      <c r="AE15" s="104"/>
      <c r="AF15" s="104"/>
      <c r="AG15" s="85"/>
      <c r="AH15" s="82"/>
      <c r="AI15" s="104"/>
      <c r="AJ15" s="104"/>
      <c r="AK15" s="85"/>
      <c r="AL15" s="82"/>
      <c r="AM15" s="104"/>
      <c r="AN15" s="104"/>
      <c r="AO15" s="85"/>
      <c r="AP15" s="82"/>
      <c r="AQ15" s="104"/>
      <c r="AR15" s="104"/>
      <c r="AS15" s="85"/>
      <c r="AT15" s="112"/>
      <c r="AU15" s="104"/>
      <c r="AV15" s="104"/>
      <c r="AW15" s="85"/>
      <c r="AX15" s="82"/>
      <c r="AY15" s="104"/>
      <c r="AZ15" s="104"/>
      <c r="BA15" s="85"/>
    </row>
    <row r="16" spans="1:53" ht="44.45" customHeight="1">
      <c r="A16" s="96">
        <v>10</v>
      </c>
      <c r="B16" s="95" t="s">
        <v>162</v>
      </c>
      <c r="C16" s="80"/>
      <c r="D16" s="81"/>
      <c r="E16" s="82"/>
      <c r="F16" s="83"/>
      <c r="G16" s="83"/>
      <c r="H16" s="82"/>
      <c r="I16" s="89"/>
      <c r="J16" s="89"/>
      <c r="K16" s="82">
        <v>1300</v>
      </c>
      <c r="L16" s="104">
        <v>45850</v>
      </c>
      <c r="M16" s="104"/>
      <c r="N16" s="82"/>
      <c r="O16" s="104"/>
      <c r="P16" s="104"/>
      <c r="Q16" s="85"/>
      <c r="R16" s="82"/>
      <c r="S16" s="104"/>
      <c r="T16" s="104"/>
      <c r="U16" s="85"/>
      <c r="V16" s="82"/>
      <c r="W16" s="104"/>
      <c r="X16" s="104"/>
      <c r="Y16" s="85"/>
      <c r="Z16" s="82">
        <v>130</v>
      </c>
      <c r="AA16" s="104" t="s">
        <v>194</v>
      </c>
      <c r="AB16" s="104"/>
      <c r="AC16" s="85" t="s">
        <v>196</v>
      </c>
      <c r="AD16" s="82"/>
      <c r="AE16" s="104"/>
      <c r="AF16" s="104"/>
      <c r="AG16" s="85"/>
      <c r="AH16" s="82"/>
      <c r="AI16" s="104"/>
      <c r="AJ16" s="104"/>
      <c r="AK16" s="85"/>
      <c r="AL16" s="82"/>
      <c r="AM16" s="104"/>
      <c r="AN16" s="104"/>
      <c r="AO16" s="85"/>
      <c r="AP16" s="82"/>
      <c r="AQ16" s="104"/>
      <c r="AR16" s="104"/>
      <c r="AS16" s="85"/>
      <c r="AT16" s="112"/>
      <c r="AU16" s="104"/>
      <c r="AV16" s="104"/>
      <c r="AW16" s="85"/>
      <c r="AX16" s="82"/>
      <c r="AY16" s="104"/>
      <c r="AZ16" s="104"/>
      <c r="BA16" s="85"/>
    </row>
    <row r="17" spans="1:53" ht="44.45" customHeight="1">
      <c r="A17" s="121">
        <v>11</v>
      </c>
      <c r="B17" s="122" t="s">
        <v>163</v>
      </c>
      <c r="C17" s="80"/>
      <c r="D17" s="81"/>
      <c r="E17" s="82"/>
      <c r="F17" s="83"/>
      <c r="G17" s="83"/>
      <c r="H17" s="82">
        <v>95</v>
      </c>
      <c r="I17" s="89">
        <v>45828</v>
      </c>
      <c r="J17" s="89"/>
      <c r="K17" s="82">
        <v>650</v>
      </c>
      <c r="L17" s="104">
        <v>45850</v>
      </c>
      <c r="M17" s="104"/>
      <c r="N17" s="82"/>
      <c r="O17" s="104"/>
      <c r="P17" s="104"/>
      <c r="Q17" s="85"/>
      <c r="R17" s="82"/>
      <c r="S17" s="104"/>
      <c r="T17" s="104"/>
      <c r="U17" s="85"/>
      <c r="V17" s="82"/>
      <c r="W17" s="104"/>
      <c r="X17" s="104"/>
      <c r="Y17" s="85"/>
      <c r="Z17" s="82">
        <v>60</v>
      </c>
      <c r="AA17" s="104" t="s">
        <v>194</v>
      </c>
      <c r="AB17" s="104"/>
      <c r="AC17" s="85" t="s">
        <v>195</v>
      </c>
      <c r="AD17" s="82"/>
      <c r="AE17" s="104"/>
      <c r="AF17" s="104"/>
      <c r="AG17" s="85"/>
      <c r="AH17" s="82"/>
      <c r="AI17" s="104"/>
      <c r="AJ17" s="104"/>
      <c r="AK17" s="85"/>
      <c r="AL17" s="82"/>
      <c r="AM17" s="104"/>
      <c r="AN17" s="104"/>
      <c r="AO17" s="85"/>
      <c r="AP17" s="82">
        <f>2800+650</f>
        <v>3450</v>
      </c>
      <c r="AQ17" s="104"/>
      <c r="AR17" s="104"/>
      <c r="AS17" s="130" t="s">
        <v>230</v>
      </c>
      <c r="AT17" s="112">
        <v>3300</v>
      </c>
      <c r="AU17" s="104">
        <v>46117</v>
      </c>
      <c r="AV17" s="104"/>
      <c r="AW17" s="131" t="s">
        <v>235</v>
      </c>
      <c r="AX17" s="82"/>
      <c r="AY17" s="104"/>
      <c r="AZ17" s="104"/>
      <c r="BA17" s="127"/>
    </row>
    <row r="18" spans="1:53" ht="55.5" customHeight="1">
      <c r="A18" s="123">
        <v>12</v>
      </c>
      <c r="B18" s="135" t="s">
        <v>175</v>
      </c>
      <c r="C18" s="80"/>
      <c r="D18" s="81"/>
      <c r="E18" s="82"/>
      <c r="F18" s="83"/>
      <c r="G18" s="83"/>
      <c r="H18" s="82"/>
      <c r="I18" s="89"/>
      <c r="J18" s="89"/>
      <c r="K18" s="82"/>
      <c r="L18" s="104"/>
      <c r="M18" s="104"/>
      <c r="N18" s="82">
        <v>1537</v>
      </c>
      <c r="O18" s="104"/>
      <c r="P18" s="104"/>
      <c r="Q18" s="90" t="s">
        <v>177</v>
      </c>
      <c r="R18" s="82">
        <v>2000</v>
      </c>
      <c r="S18" s="104"/>
      <c r="T18" s="104"/>
      <c r="U18" s="90" t="s">
        <v>180</v>
      </c>
      <c r="V18" s="82">
        <v>70</v>
      </c>
      <c r="W18" s="104">
        <v>45947</v>
      </c>
      <c r="X18" s="104"/>
      <c r="Y18" s="90" t="s">
        <v>185</v>
      </c>
      <c r="Z18" s="82">
        <v>8500</v>
      </c>
      <c r="AA18" s="104" t="s">
        <v>193</v>
      </c>
      <c r="AB18" s="104"/>
      <c r="AC18" s="90" t="s">
        <v>197</v>
      </c>
      <c r="AD18" s="82">
        <v>1720</v>
      </c>
      <c r="AE18" s="104" t="s">
        <v>207</v>
      </c>
      <c r="AF18" s="104"/>
      <c r="AG18" s="114" t="s">
        <v>214</v>
      </c>
      <c r="AH18" s="82"/>
      <c r="AI18" s="104"/>
      <c r="AJ18" s="104"/>
      <c r="AK18" s="90"/>
      <c r="AL18" s="82">
        <f>21600+8400</f>
        <v>30000</v>
      </c>
      <c r="AM18" s="104">
        <v>46075</v>
      </c>
      <c r="AN18" s="104"/>
      <c r="AO18" s="90" t="s">
        <v>217</v>
      </c>
      <c r="AP18" s="82">
        <v>2070</v>
      </c>
      <c r="AQ18" s="104">
        <v>46089</v>
      </c>
      <c r="AR18" s="104"/>
      <c r="AS18" s="131" t="s">
        <v>231</v>
      </c>
      <c r="AT18" s="112">
        <f>3000+1055</f>
        <v>4055</v>
      </c>
      <c r="AU18" s="104">
        <v>46113</v>
      </c>
      <c r="AV18" s="104"/>
      <c r="AW18" s="131" t="s">
        <v>238</v>
      </c>
      <c r="AX18" s="82"/>
      <c r="AY18" s="104"/>
      <c r="AZ18" s="104"/>
      <c r="BA18" s="127"/>
    </row>
    <row r="19" spans="1:53" ht="55.5" customHeight="1">
      <c r="A19" s="123">
        <v>13</v>
      </c>
      <c r="B19" s="135" t="s">
        <v>175</v>
      </c>
      <c r="C19" s="80"/>
      <c r="D19" s="81"/>
      <c r="E19" s="82"/>
      <c r="F19" s="83"/>
      <c r="G19" s="83"/>
      <c r="H19" s="82"/>
      <c r="I19" s="89"/>
      <c r="J19" s="89"/>
      <c r="K19" s="82"/>
      <c r="L19" s="104"/>
      <c r="M19" s="104"/>
      <c r="N19" s="82"/>
      <c r="O19" s="104"/>
      <c r="P19" s="104"/>
      <c r="Q19" s="90"/>
      <c r="R19" s="82"/>
      <c r="S19" s="104"/>
      <c r="T19" s="104"/>
      <c r="U19" s="90"/>
      <c r="V19" s="82"/>
      <c r="W19" s="104"/>
      <c r="X19" s="104"/>
      <c r="Y19" s="90"/>
      <c r="Z19" s="82"/>
      <c r="AA19" s="104"/>
      <c r="AB19" s="104"/>
      <c r="AC19" s="90"/>
      <c r="AD19" s="82"/>
      <c r="AE19" s="104"/>
      <c r="AF19" s="104"/>
      <c r="AG19" s="114"/>
      <c r="AH19" s="82"/>
      <c r="AI19" s="104"/>
      <c r="AJ19" s="104"/>
      <c r="AK19" s="90"/>
      <c r="AL19" s="82">
        <v>680</v>
      </c>
      <c r="AM19" s="104">
        <v>46061</v>
      </c>
      <c r="AN19" s="104"/>
      <c r="AO19" s="90" t="s">
        <v>218</v>
      </c>
      <c r="AP19" s="82">
        <v>800</v>
      </c>
      <c r="AQ19" s="104">
        <v>46096</v>
      </c>
      <c r="AR19" s="104"/>
      <c r="AS19" s="90" t="s">
        <v>225</v>
      </c>
      <c r="AT19" s="82"/>
      <c r="AU19" s="104"/>
      <c r="AV19" s="104"/>
      <c r="AW19" s="90"/>
      <c r="AX19" s="82"/>
      <c r="AY19" s="104"/>
      <c r="AZ19" s="104"/>
      <c r="BA19" s="90"/>
    </row>
    <row r="20" spans="1:53" ht="55.5" customHeight="1">
      <c r="A20" s="123">
        <v>14</v>
      </c>
      <c r="B20" s="124" t="s">
        <v>219</v>
      </c>
      <c r="C20" s="80"/>
      <c r="D20" s="81"/>
      <c r="E20" s="82"/>
      <c r="F20" s="83"/>
      <c r="G20" s="83"/>
      <c r="H20" s="82"/>
      <c r="I20" s="89"/>
      <c r="J20" s="89"/>
      <c r="K20" s="82"/>
      <c r="L20" s="104"/>
      <c r="M20" s="104"/>
      <c r="N20" s="82"/>
      <c r="O20" s="104"/>
      <c r="P20" s="104"/>
      <c r="Q20" s="90"/>
      <c r="R20" s="82"/>
      <c r="S20" s="104"/>
      <c r="T20" s="104"/>
      <c r="U20" s="90"/>
      <c r="V20" s="82"/>
      <c r="W20" s="104"/>
      <c r="X20" s="104"/>
      <c r="Y20" s="90"/>
      <c r="Z20" s="82"/>
      <c r="AA20" s="104"/>
      <c r="AB20" s="104"/>
      <c r="AC20" s="90"/>
      <c r="AD20" s="82"/>
      <c r="AE20" s="104"/>
      <c r="AF20" s="104"/>
      <c r="AG20" s="114"/>
      <c r="AH20" s="82"/>
      <c r="AI20" s="104"/>
      <c r="AJ20" s="104"/>
      <c r="AK20" s="90"/>
      <c r="AL20" s="82">
        <f>2000+800+250+960</f>
        <v>4010</v>
      </c>
      <c r="AM20" s="104">
        <v>46081</v>
      </c>
      <c r="AN20" s="104"/>
      <c r="AO20" s="90" t="s">
        <v>220</v>
      </c>
      <c r="AP20" s="82">
        <v>2277</v>
      </c>
      <c r="AQ20" s="104">
        <v>46090</v>
      </c>
      <c r="AR20" s="104"/>
      <c r="AS20" s="132" t="s">
        <v>232</v>
      </c>
      <c r="AT20" s="82"/>
      <c r="AU20" s="104"/>
      <c r="AV20" s="104"/>
      <c r="AW20" s="128"/>
      <c r="AX20" s="82">
        <f>750+90+480+30+800+1500+1950</f>
        <v>5600</v>
      </c>
      <c r="AY20" s="104"/>
      <c r="AZ20" s="104"/>
      <c r="BA20" s="134" t="s">
        <v>240</v>
      </c>
    </row>
    <row r="21" spans="1:53" ht="31.5" customHeight="1"/>
    <row r="22" spans="1:53" ht="31.5" customHeight="1"/>
    <row r="23" spans="1:53" ht="29.85" customHeight="1"/>
    <row r="24" spans="1:53" ht="19.5" customHeight="1"/>
    <row r="25" spans="1:53" ht="19.5" customHeight="1"/>
    <row r="26" spans="1:53" ht="19.5" customHeight="1"/>
    <row r="27" spans="1:53" ht="18" customHeight="1"/>
    <row r="28" spans="1:53" ht="28.5" customHeight="1"/>
    <row r="29" spans="1:53" ht="31.5" customHeight="1"/>
    <row r="30" spans="1:53" ht="31.5" customHeight="1"/>
    <row r="31" spans="1:53" ht="32.450000000000003" customHeight="1"/>
    <row r="32" spans="1:53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18" customHeight="1"/>
    <row r="40" ht="30.6" customHeight="1"/>
    <row r="52" ht="30.95" customHeight="1"/>
    <row r="64" ht="27.95" customHeight="1"/>
    <row r="76" ht="30" customHeight="1"/>
    <row r="88" ht="31.5" customHeight="1"/>
    <row r="100" ht="27.95" customHeight="1"/>
    <row r="112" ht="31.5" customHeight="1"/>
    <row r="124" ht="32.450000000000003" customHeight="1"/>
    <row r="136" ht="27.95" customHeight="1"/>
    <row r="137" ht="15" customHeight="1"/>
  </sheetData>
  <mergeCells count="17">
    <mergeCell ref="R2:U2"/>
    <mergeCell ref="N2:Q2"/>
    <mergeCell ref="V2:Y2"/>
    <mergeCell ref="E2:G2"/>
    <mergeCell ref="H2:J2"/>
    <mergeCell ref="A1:Q1"/>
    <mergeCell ref="A2:A3"/>
    <mergeCell ref="B2:B3"/>
    <mergeCell ref="C2:D2"/>
    <mergeCell ref="K2:M2"/>
    <mergeCell ref="AT2:AW2"/>
    <mergeCell ref="AX2:BA2"/>
    <mergeCell ref="Z2:AC2"/>
    <mergeCell ref="AD2:AG2"/>
    <mergeCell ref="AH2:AK2"/>
    <mergeCell ref="AP2:AS2"/>
    <mergeCell ref="AL2:AO2"/>
  </mergeCells>
  <pageMargins left="0.7" right="0.7" top="0.75" bottom="0.75" header="0.3" footer="0.3"/>
  <pageSetup paperSize="9" scale="2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7D1A-A130-4CF2-8F53-8DE497F18C35}">
  <dimension ref="A1:F18"/>
  <sheetViews>
    <sheetView view="pageBreakPreview" topLeftCell="A13" zoomScale="220" zoomScaleNormal="160" zoomScaleSheetLayoutView="220" workbookViewId="0">
      <selection activeCell="F16" sqref="F16"/>
    </sheetView>
  </sheetViews>
  <sheetFormatPr defaultRowHeight="12.75"/>
  <cols>
    <col min="3" max="3" width="9.5" customWidth="1"/>
    <col min="4" max="4" width="17" customWidth="1"/>
    <col min="5" max="5" width="10" customWidth="1"/>
    <col min="6" max="6" width="10.1640625" customWidth="1"/>
  </cols>
  <sheetData>
    <row r="1" spans="1:6" ht="23.25">
      <c r="A1" s="97" t="s">
        <v>178</v>
      </c>
    </row>
    <row r="3" spans="1:6" ht="38.25">
      <c r="A3" s="45" t="s">
        <v>164</v>
      </c>
      <c r="B3" s="45" t="s">
        <v>165</v>
      </c>
      <c r="C3" s="105" t="s">
        <v>167</v>
      </c>
      <c r="D3" s="106" t="s">
        <v>174</v>
      </c>
      <c r="E3" s="107" t="s">
        <v>166</v>
      </c>
      <c r="F3" s="111" t="s">
        <v>179</v>
      </c>
    </row>
    <row r="4" spans="1:6">
      <c r="A4" s="108">
        <v>1</v>
      </c>
      <c r="B4" s="110">
        <v>45748</v>
      </c>
      <c r="C4" s="1">
        <f>'Month wise MC'!C4</f>
        <v>55200</v>
      </c>
      <c r="D4" s="1">
        <f>C4</f>
        <v>55200</v>
      </c>
      <c r="E4" s="1" t="e">
        <f>EXPENSES!#REF!</f>
        <v>#REF!</v>
      </c>
      <c r="F4" s="98" t="e">
        <f>C4-E4</f>
        <v>#REF!</v>
      </c>
    </row>
    <row r="5" spans="1:6">
      <c r="A5" s="108">
        <v>2</v>
      </c>
      <c r="B5" s="110">
        <v>45778</v>
      </c>
      <c r="C5" s="1">
        <f>'Month wise MC'!C5</f>
        <v>55200</v>
      </c>
      <c r="D5" s="1" t="e">
        <f t="shared" ref="D5:D12" si="0">C5+F4</f>
        <v>#REF!</v>
      </c>
      <c r="E5" s="109" t="e">
        <f>EXPENSES!#REF!</f>
        <v>#REF!</v>
      </c>
      <c r="F5" s="1" t="e">
        <f t="shared" ref="F5:F17" si="1">D5-E5</f>
        <v>#REF!</v>
      </c>
    </row>
    <row r="6" spans="1:6">
      <c r="A6" s="108">
        <v>3</v>
      </c>
      <c r="B6" s="110">
        <v>45809</v>
      </c>
      <c r="C6" s="1">
        <f>'Month wise MC'!C6</f>
        <v>54100</v>
      </c>
      <c r="D6" s="1" t="e">
        <f t="shared" si="0"/>
        <v>#REF!</v>
      </c>
      <c r="E6" s="109" t="e">
        <f>EXPENSES!#REF!</f>
        <v>#REF!</v>
      </c>
      <c r="F6" s="1" t="e">
        <f t="shared" si="1"/>
        <v>#REF!</v>
      </c>
    </row>
    <row r="7" spans="1:6">
      <c r="A7" s="108">
        <v>4</v>
      </c>
      <c r="B7" s="110">
        <v>45839</v>
      </c>
      <c r="C7" s="1">
        <f>'Month wise MC'!C7</f>
        <v>71300</v>
      </c>
      <c r="D7" s="1" t="e">
        <f t="shared" si="0"/>
        <v>#REF!</v>
      </c>
      <c r="E7" s="109" t="e">
        <f>EXPENSES!#REF!</f>
        <v>#REF!</v>
      </c>
      <c r="F7" s="1" t="e">
        <f t="shared" si="1"/>
        <v>#REF!</v>
      </c>
    </row>
    <row r="8" spans="1:6">
      <c r="A8" s="108">
        <v>5</v>
      </c>
      <c r="B8" s="110">
        <v>45870</v>
      </c>
      <c r="C8" s="1">
        <f>'Month wise MC'!C8</f>
        <v>57700</v>
      </c>
      <c r="D8" s="1" t="e">
        <f t="shared" si="0"/>
        <v>#REF!</v>
      </c>
      <c r="E8" s="109" t="e">
        <f>EXPENSES!#REF!</f>
        <v>#REF!</v>
      </c>
      <c r="F8" s="1" t="e">
        <f t="shared" si="1"/>
        <v>#REF!</v>
      </c>
    </row>
    <row r="9" spans="1:6" ht="15" customHeight="1">
      <c r="A9" s="108">
        <v>6</v>
      </c>
      <c r="B9" s="110">
        <v>45901</v>
      </c>
      <c r="C9" s="1">
        <f>'Month wise MC'!C9</f>
        <v>57700</v>
      </c>
      <c r="D9" s="1" t="e">
        <f t="shared" si="0"/>
        <v>#REF!</v>
      </c>
      <c r="E9" s="1" t="e">
        <f>EXPENSES!#REF!</f>
        <v>#REF!</v>
      </c>
      <c r="F9" s="1" t="e">
        <f t="shared" si="1"/>
        <v>#REF!</v>
      </c>
    </row>
    <row r="10" spans="1:6" ht="15" customHeight="1">
      <c r="A10" s="108">
        <v>7</v>
      </c>
      <c r="B10" s="110">
        <v>45931</v>
      </c>
      <c r="C10" s="1">
        <f>'Month wise MC'!C10</f>
        <v>78900</v>
      </c>
      <c r="D10" s="1" t="e">
        <f t="shared" si="0"/>
        <v>#REF!</v>
      </c>
      <c r="E10" s="1" t="e">
        <f>EXPENSES!#REF!</f>
        <v>#REF!</v>
      </c>
      <c r="F10" s="1" t="e">
        <f t="shared" si="1"/>
        <v>#REF!</v>
      </c>
    </row>
    <row r="11" spans="1:6" ht="15" customHeight="1">
      <c r="A11" s="108">
        <v>8</v>
      </c>
      <c r="B11" s="110">
        <v>45962</v>
      </c>
      <c r="C11" s="1">
        <f>'Month wise MC'!C11</f>
        <v>68500</v>
      </c>
      <c r="D11" s="1" t="e">
        <f t="shared" si="0"/>
        <v>#REF!</v>
      </c>
      <c r="E11" s="1" t="e">
        <f>EXPENSES!#REF!</f>
        <v>#REF!</v>
      </c>
      <c r="F11" s="1" t="e">
        <f t="shared" si="1"/>
        <v>#REF!</v>
      </c>
    </row>
    <row r="12" spans="1:6" ht="15" customHeight="1">
      <c r="A12" s="108">
        <v>9</v>
      </c>
      <c r="B12" s="110">
        <v>45992</v>
      </c>
      <c r="C12" s="1">
        <f>'Month wise MC'!C12</f>
        <v>71000</v>
      </c>
      <c r="D12" s="1" t="e">
        <f t="shared" si="0"/>
        <v>#REF!</v>
      </c>
      <c r="E12" s="1" t="e">
        <f>EXPENSES!#REF!</f>
        <v>#REF!</v>
      </c>
      <c r="F12" s="1" t="e">
        <f t="shared" si="1"/>
        <v>#REF!</v>
      </c>
    </row>
    <row r="13" spans="1:6" ht="15" customHeight="1">
      <c r="A13" s="108">
        <v>10</v>
      </c>
      <c r="B13" s="110">
        <v>46023</v>
      </c>
      <c r="C13" s="1">
        <f>'Month wise MC'!C13</f>
        <v>65800</v>
      </c>
      <c r="D13" s="1" t="e">
        <f>C13+F12</f>
        <v>#REF!</v>
      </c>
      <c r="E13" s="1" t="e">
        <f>EXPENSES!#REF!</f>
        <v>#REF!</v>
      </c>
      <c r="F13" s="1" t="e">
        <f t="shared" si="1"/>
        <v>#REF!</v>
      </c>
    </row>
    <row r="14" spans="1:6" ht="15" customHeight="1">
      <c r="A14" s="108">
        <v>11</v>
      </c>
      <c r="B14" s="110">
        <v>46054</v>
      </c>
      <c r="C14" s="1">
        <f>'Month wise MC'!C14</f>
        <v>66000</v>
      </c>
      <c r="D14" s="1" t="e">
        <f>C14+F13</f>
        <v>#REF!</v>
      </c>
      <c r="E14" s="1" t="e">
        <f>EXPENSES!#REF!</f>
        <v>#REF!</v>
      </c>
      <c r="F14" s="1" t="e">
        <f t="shared" si="1"/>
        <v>#REF!</v>
      </c>
    </row>
    <row r="15" spans="1:6" ht="15" customHeight="1">
      <c r="A15" s="108">
        <v>12</v>
      </c>
      <c r="B15" s="110">
        <v>46082</v>
      </c>
      <c r="C15" s="1">
        <f>'Month wise MC'!C15</f>
        <v>66000</v>
      </c>
      <c r="D15" s="1" t="e">
        <f t="shared" ref="D15:D17" si="2">C15+F14</f>
        <v>#REF!</v>
      </c>
      <c r="E15" s="1" t="e">
        <f>EXPENSES!#REF!</f>
        <v>#REF!</v>
      </c>
      <c r="F15" s="1" t="e">
        <f t="shared" si="1"/>
        <v>#REF!</v>
      </c>
    </row>
    <row r="16" spans="1:6" ht="15" customHeight="1">
      <c r="A16" s="108">
        <v>13</v>
      </c>
      <c r="B16" s="110">
        <v>46113</v>
      </c>
      <c r="C16" s="1">
        <f>'Month wise MC'!C16</f>
        <v>66000</v>
      </c>
      <c r="D16" s="1" t="e">
        <f t="shared" si="2"/>
        <v>#REF!</v>
      </c>
      <c r="E16" s="1" t="e">
        <f>EXPENSES!#REF!</f>
        <v>#REF!</v>
      </c>
      <c r="F16" s="1" t="e">
        <f t="shared" si="1"/>
        <v>#REF!</v>
      </c>
    </row>
    <row r="17" spans="1:6" ht="15" customHeight="1">
      <c r="A17" s="108">
        <v>14</v>
      </c>
      <c r="B17" s="110">
        <v>46143</v>
      </c>
      <c r="C17" s="1">
        <f>'Month wise MC'!C17</f>
        <v>64800</v>
      </c>
      <c r="D17" s="1" t="e">
        <f t="shared" si="2"/>
        <v>#REF!</v>
      </c>
      <c r="E17" s="1" t="e">
        <f>EXPENSES!#REF!</f>
        <v>#REF!</v>
      </c>
      <c r="F17" s="1" t="e">
        <f t="shared" si="1"/>
        <v>#REF!</v>
      </c>
    </row>
    <row r="18" spans="1:6" ht="12.95" customHeight="1">
      <c r="A18" s="318" t="s">
        <v>3</v>
      </c>
      <c r="B18" s="318"/>
      <c r="C18" s="45">
        <f>SUM(C4:C13)</f>
        <v>635400</v>
      </c>
      <c r="D18" s="45" t="e">
        <f>SUM(D4:D17)</f>
        <v>#REF!</v>
      </c>
      <c r="E18" s="45" t="e">
        <f>SUM(E4:E17)</f>
        <v>#REF!</v>
      </c>
      <c r="F18" s="119"/>
    </row>
  </sheetData>
  <mergeCells count="1">
    <mergeCell ref="A18:B18"/>
  </mergeCells>
  <phoneticPr fontId="6" type="noConversion"/>
  <pageMargins left="0.7" right="0.7" top="0.75" bottom="0.75" header="0.3" footer="0.3"/>
  <pageSetup paperSize="9" scale="14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Details MC</vt:lpstr>
      <vt:lpstr>Details MC1 </vt:lpstr>
      <vt:lpstr>Month wise MC</vt:lpstr>
      <vt:lpstr>EXPENSES</vt:lpstr>
      <vt:lpstr>Income and Expenses</vt:lpstr>
      <vt:lpstr>'Details MC1 '!Print_Area</vt:lpstr>
      <vt:lpstr>EXPENSES!Print_Area</vt:lpstr>
      <vt:lpstr>'Month wise MC'!Print_Area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ashis mandal</cp:lastModifiedBy>
  <cp:lastPrinted>2026-02-05T15:44:13Z</cp:lastPrinted>
  <dcterms:created xsi:type="dcterms:W3CDTF">2025-06-10T13:00:40Z</dcterms:created>
  <dcterms:modified xsi:type="dcterms:W3CDTF">2026-05-27T07:40:53Z</dcterms:modified>
</cp:coreProperties>
</file>