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bir\OneDrive\Desktop\"/>
    </mc:Choice>
  </mc:AlternateContent>
  <xr:revisionPtr revIDLastSave="0" documentId="13_ncr:1_{84E53382-A171-4EBB-97C4-844A4882A8A0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Details MC " sheetId="1" r:id="rId1"/>
    <sheet name="Month wise MC" sheetId="2" r:id="rId2"/>
    <sheet name="EXPENSES" sheetId="3" r:id="rId3"/>
    <sheet name="Income and Expenses" sheetId="4" r:id="rId4"/>
  </sheets>
  <definedNames>
    <definedName name="_xlnm.Print_Area" localSheetId="0">'Details MC '!$A$1:$AC$81</definedName>
    <definedName name="_xlnm.Print_Area" localSheetId="2">EXPENSES!$A$1:$BA$23</definedName>
    <definedName name="_xlnm.Print_Area" localSheetId="1">'Month wise MC'!$A$1:$D$17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7" i="4" l="1"/>
  <c r="AX21" i="3"/>
  <c r="AX20" i="3"/>
  <c r="AT21" i="3"/>
  <c r="AT9" i="3"/>
  <c r="AT18" i="3"/>
  <c r="AT6" i="3"/>
  <c r="AP9" i="3"/>
  <c r="AP21" i="3"/>
  <c r="E15" i="4" s="1"/>
  <c r="AP17" i="3"/>
  <c r="AL20" i="3"/>
  <c r="AL21" i="3"/>
  <c r="E14" i="4" s="1"/>
  <c r="D14" i="4"/>
  <c r="C14" i="4"/>
  <c r="C15" i="4"/>
  <c r="C16" i="4"/>
  <c r="C17" i="2"/>
  <c r="C17" i="4" s="1"/>
  <c r="C16" i="2"/>
  <c r="C15" i="2"/>
  <c r="AG78" i="1"/>
  <c r="AF14" i="1"/>
  <c r="AF11" i="1"/>
  <c r="AF78" i="1" s="1"/>
  <c r="AE78" i="1"/>
  <c r="AD78" i="1"/>
  <c r="AD14" i="1"/>
  <c r="AD11" i="1"/>
  <c r="AL18" i="3"/>
  <c r="AB14" i="1"/>
  <c r="AB11" i="1"/>
  <c r="Z11" i="1"/>
  <c r="AD9" i="3"/>
  <c r="AD8" i="3"/>
  <c r="AH21" i="3"/>
  <c r="E13" i="4" s="1"/>
  <c r="Z14" i="1"/>
  <c r="X14" i="1"/>
  <c r="V14" i="1"/>
  <c r="X11" i="1"/>
  <c r="V11" i="1"/>
  <c r="T11" i="1"/>
  <c r="Z21" i="3"/>
  <c r="E11" i="4" s="1"/>
  <c r="V21" i="3"/>
  <c r="E10" i="4" s="1"/>
  <c r="T14" i="1"/>
  <c r="R14" i="1"/>
  <c r="R11" i="1"/>
  <c r="K21" i="3"/>
  <c r="E7" i="4" s="1"/>
  <c r="E21" i="3"/>
  <c r="E5" i="4" s="1"/>
  <c r="C21" i="3"/>
  <c r="R21" i="3"/>
  <c r="E9" i="4" s="1"/>
  <c r="N21" i="3"/>
  <c r="E8" i="4" s="1"/>
  <c r="L9" i="1"/>
  <c r="H7" i="3"/>
  <c r="H21" i="3" s="1"/>
  <c r="E16" i="4" l="1"/>
  <c r="F14" i="4"/>
  <c r="D15" i="4" s="1"/>
  <c r="F15" i="4" s="1"/>
  <c r="D16" i="4" s="1"/>
  <c r="E18" i="4"/>
  <c r="AD21" i="3"/>
  <c r="E12" i="4" s="1"/>
  <c r="E6" i="4"/>
  <c r="C22" i="3"/>
  <c r="E4" i="4"/>
  <c r="H78" i="1"/>
  <c r="C5" i="2" s="1"/>
  <c r="C5" i="4" s="1"/>
  <c r="J78" i="1"/>
  <c r="C6" i="2" s="1"/>
  <c r="C6" i="4" s="1"/>
  <c r="L78" i="1"/>
  <c r="C7" i="2" s="1"/>
  <c r="C7" i="4" s="1"/>
  <c r="N78" i="1"/>
  <c r="C8" i="2" s="1"/>
  <c r="C8" i="4" s="1"/>
  <c r="P78" i="1"/>
  <c r="C9" i="2" s="1"/>
  <c r="C9" i="4" s="1"/>
  <c r="R78" i="1"/>
  <c r="T78" i="1"/>
  <c r="V78" i="1"/>
  <c r="C12" i="2" s="1"/>
  <c r="C12" i="4" s="1"/>
  <c r="X78" i="1"/>
  <c r="C13" i="2" s="1"/>
  <c r="C13" i="4" s="1"/>
  <c r="Z78" i="1"/>
  <c r="C14" i="2" s="1"/>
  <c r="AA78" i="1"/>
  <c r="AB78" i="1"/>
  <c r="AC78" i="1"/>
  <c r="AH78" i="1"/>
  <c r="F78" i="1"/>
  <c r="C4" i="2" s="1"/>
  <c r="C4" i="4" s="1"/>
  <c r="F16" i="4" l="1"/>
  <c r="D17" i="4" s="1"/>
  <c r="C11" i="2"/>
  <c r="C11" i="4" s="1"/>
  <c r="F81" i="1"/>
  <c r="C10" i="2"/>
  <c r="C10" i="4" s="1"/>
  <c r="F4" i="4"/>
  <c r="D5" i="4" s="1"/>
  <c r="F5" i="4" s="1"/>
  <c r="D6" i="4" s="1"/>
  <c r="F6" i="4" s="1"/>
  <c r="D7" i="4" s="1"/>
  <c r="F7" i="4" s="1"/>
  <c r="D8" i="4" s="1"/>
  <c r="D4" i="4"/>
  <c r="F17" i="4" l="1"/>
  <c r="D18" i="4"/>
  <c r="C18" i="4"/>
  <c r="F8" i="4"/>
  <c r="D9" i="4" s="1"/>
  <c r="F9" i="4" s="1"/>
  <c r="D10" i="4" s="1"/>
  <c r="F10" i="4" s="1"/>
  <c r="D11" i="4" s="1"/>
  <c r="F11" i="4" s="1"/>
  <c r="D12" i="4" s="1"/>
  <c r="F12" i="4" l="1"/>
  <c r="D13" i="4" s="1"/>
  <c r="F13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tc={9CC29A30-9507-4B8C-9111-ED98EC4BA602}</author>
    <author>tc={40440B97-6B7D-42C7-8538-10C04330F227}</author>
    <author>tc={43FCA51E-B18F-41D5-BE72-62BCDD2FBE8B}</author>
    <author>tc={D75D2CAA-C58D-4CBA-8F78-213BE26AA156}</author>
    <author>SABIR AHAMMED</author>
  </authors>
  <commentList>
    <comment ref="R7" authorId="0" shapeId="0" xr:uid="{9CC29A30-9507-4B8C-9111-ED98EC4BA602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T7" authorId="1" shapeId="0" xr:uid="{40440B97-6B7D-42C7-8538-10C04330F227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V7" authorId="2" shapeId="0" xr:uid="{43FCA51E-B18F-41D5-BE72-62BCDD2FBE8B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X7" authorId="3" shapeId="0" xr:uid="{D75D2CAA-C58D-4CBA-8F78-213BE26AA156}">
      <text>
        <t>[Threaded comment]
Your version of Excel allows you to read this threaded comment; however, any edits to it will get removed if the file is opened in a newer version of Excel. Learn more: https://go.microsoft.com/fwlink/?linkid=870924
Comment:
    Due Rs 200</t>
      </text>
    </comment>
    <comment ref="L9" authorId="4" shapeId="0" xr:uid="{96D11754-0021-41E5-910A-3C0065A8E70F}">
      <text>
        <r>
          <rPr>
            <b/>
            <sz val="9"/>
            <color indexed="81"/>
            <rFont val="Tahoma"/>
            <family val="2"/>
          </rPr>
          <t>SABIR AHAMMED:</t>
        </r>
        <r>
          <rPr>
            <sz val="9"/>
            <color indexed="81"/>
            <rFont val="Tahoma"/>
            <family val="2"/>
          </rPr>
          <t xml:space="preserve">
Builder Paid Electric Bill Due from April to July 2025(17200)
</t>
        </r>
      </text>
    </comment>
  </commentList>
</comments>
</file>

<file path=xl/sharedStrings.xml><?xml version="1.0" encoding="utf-8"?>
<sst xmlns="http://schemas.openxmlformats.org/spreadsheetml/2006/main" count="335" uniqueCount="242">
  <si>
    <t>Dr. Narendranath Pal</t>
  </si>
  <si>
    <t>Sourav Kundu</t>
  </si>
  <si>
    <t>8H</t>
  </si>
  <si>
    <t>Total</t>
  </si>
  <si>
    <t>2nd Floor</t>
  </si>
  <si>
    <t>1st Floor</t>
  </si>
  <si>
    <t>3rd Floor</t>
  </si>
  <si>
    <t>4th Floor</t>
  </si>
  <si>
    <t>5th Floor</t>
  </si>
  <si>
    <t>6th Floor</t>
  </si>
  <si>
    <t>7th Floor</t>
  </si>
  <si>
    <t>8th Floor</t>
  </si>
  <si>
    <t>Sl. No.</t>
  </si>
  <si>
    <t>Name</t>
  </si>
  <si>
    <t>Flat No.</t>
  </si>
  <si>
    <t>Mobile No.</t>
  </si>
  <si>
    <t>REMARKS</t>
  </si>
  <si>
    <t>Collection of Maintainance Charge (Tower-II) (Flat wise)-2025/26</t>
  </si>
  <si>
    <t>Amount</t>
  </si>
  <si>
    <t>Date</t>
  </si>
  <si>
    <t>Deepsikha Office</t>
  </si>
  <si>
    <t xml:space="preserve">All Total </t>
  </si>
  <si>
    <t>ALL Months received Amount</t>
  </si>
  <si>
    <t>Room Type</t>
  </si>
  <si>
    <t>2+3</t>
  </si>
  <si>
    <t>3+2</t>
  </si>
  <si>
    <t>Sishir Singha</t>
  </si>
  <si>
    <t>1A</t>
  </si>
  <si>
    <t>Mrinmoy Choudhuri</t>
  </si>
  <si>
    <t>1B</t>
  </si>
  <si>
    <t>Nibedita Uppadhyay</t>
  </si>
  <si>
    <t>1C</t>
  </si>
  <si>
    <t>1D</t>
  </si>
  <si>
    <t>Arup Kr. Bandapadhya</t>
  </si>
  <si>
    <t>1E</t>
  </si>
  <si>
    <t>Dr. Rajkumar Sangiri</t>
  </si>
  <si>
    <t>1F+1H</t>
  </si>
  <si>
    <t>1G</t>
  </si>
  <si>
    <t>2A+2C</t>
  </si>
  <si>
    <t>Rahul Kundu</t>
  </si>
  <si>
    <t>2B</t>
  </si>
  <si>
    <t>2D</t>
  </si>
  <si>
    <t>Manju Khan</t>
  </si>
  <si>
    <t>2E</t>
  </si>
  <si>
    <t>Madhusudan Dutta</t>
  </si>
  <si>
    <t>2F</t>
  </si>
  <si>
    <t>Amrita Patranabish</t>
  </si>
  <si>
    <t>2G</t>
  </si>
  <si>
    <t>2H</t>
  </si>
  <si>
    <t>Banashree Mishra</t>
  </si>
  <si>
    <t>3A</t>
  </si>
  <si>
    <t>Sudipta Sankar Saren</t>
  </si>
  <si>
    <t>3B</t>
  </si>
  <si>
    <t>Paresh Das</t>
  </si>
  <si>
    <t>3C</t>
  </si>
  <si>
    <t>3D</t>
  </si>
  <si>
    <t>3E</t>
  </si>
  <si>
    <t>Haimanti Goswami</t>
  </si>
  <si>
    <t>3F</t>
  </si>
  <si>
    <t>Sajal Kr. Benarjee</t>
  </si>
  <si>
    <t>3G</t>
  </si>
  <si>
    <t>Bulti Dey</t>
  </si>
  <si>
    <t>3H</t>
  </si>
  <si>
    <t>Mrinmoy Mandal</t>
  </si>
  <si>
    <t>4A</t>
  </si>
  <si>
    <t>Dr. Ajit Kr. Ganguli</t>
  </si>
  <si>
    <t>4B</t>
  </si>
  <si>
    <t>Ardhendu Sinha Mahapatra</t>
  </si>
  <si>
    <t>4C</t>
  </si>
  <si>
    <t>4D</t>
  </si>
  <si>
    <t>Asmita Batabal</t>
  </si>
  <si>
    <t>4E</t>
  </si>
  <si>
    <t>Deepa Haldar</t>
  </si>
  <si>
    <t>4F</t>
  </si>
  <si>
    <t>Goutam Karmakar</t>
  </si>
  <si>
    <t>4G</t>
  </si>
  <si>
    <t>Diptendu Mohanty</t>
  </si>
  <si>
    <t>4H</t>
  </si>
  <si>
    <t>Susanta Kr. Sheet</t>
  </si>
  <si>
    <t>5A</t>
  </si>
  <si>
    <t>5B</t>
  </si>
  <si>
    <t>Ujjal Roy</t>
  </si>
  <si>
    <t>5C</t>
  </si>
  <si>
    <t>Krishna Sinha</t>
  </si>
  <si>
    <t>5D</t>
  </si>
  <si>
    <t>Anita Lo Saha</t>
  </si>
  <si>
    <t>5E+5G</t>
  </si>
  <si>
    <t>Sangita Roy</t>
  </si>
  <si>
    <t>5F</t>
  </si>
  <si>
    <t>Sudipta Das</t>
  </si>
  <si>
    <t>5H</t>
  </si>
  <si>
    <t>Sanjay Sengupta</t>
  </si>
  <si>
    <t>6A</t>
  </si>
  <si>
    <t>Jhuma Mandal</t>
  </si>
  <si>
    <t>6B</t>
  </si>
  <si>
    <t>Shantanu Ganguli</t>
  </si>
  <si>
    <t>6C</t>
  </si>
  <si>
    <t>6D</t>
  </si>
  <si>
    <t>Sutapa Dana</t>
  </si>
  <si>
    <t>6E</t>
  </si>
  <si>
    <t>6F</t>
  </si>
  <si>
    <t>6G</t>
  </si>
  <si>
    <t>6H</t>
  </si>
  <si>
    <t>Dr. Arup Guha</t>
  </si>
  <si>
    <t>7A</t>
  </si>
  <si>
    <t>Manoj Kr. Dutta</t>
  </si>
  <si>
    <t>7B</t>
  </si>
  <si>
    <t>7C</t>
  </si>
  <si>
    <t>7D</t>
  </si>
  <si>
    <t>Sabir Ahammed</t>
  </si>
  <si>
    <t>7E</t>
  </si>
  <si>
    <t>Debasish Paramanik</t>
  </si>
  <si>
    <t>7F</t>
  </si>
  <si>
    <t>Priyanka Bandopadhyaya</t>
  </si>
  <si>
    <t>7G</t>
  </si>
  <si>
    <t>7H</t>
  </si>
  <si>
    <t>8A</t>
  </si>
  <si>
    <t>8B</t>
  </si>
  <si>
    <t>8C</t>
  </si>
  <si>
    <t>8D</t>
  </si>
  <si>
    <t>Sourav Mahanty</t>
  </si>
  <si>
    <t>8E</t>
  </si>
  <si>
    <t>Mantu Das</t>
  </si>
  <si>
    <t>8F</t>
  </si>
  <si>
    <t>Utpal Badyakar</t>
  </si>
  <si>
    <t>8G</t>
  </si>
  <si>
    <r>
      <rPr>
        <sz val="18"/>
        <rFont val="Times New Roman"/>
        <family val="1"/>
      </rPr>
      <t>7858953308
9835066060</t>
    </r>
  </si>
  <si>
    <t>2BHK Rs. 1200 &amp; 3 BHK Rs.1500 w.e.f 0ctober 2025</t>
  </si>
  <si>
    <t>Month</t>
  </si>
  <si>
    <t>Sl No.</t>
  </si>
  <si>
    <t>2BHK Rs. 1000 &amp; 3 BHK Rs.1200 w.e.f June 2025</t>
  </si>
  <si>
    <t>2BHK Rs. 1200 &amp; 3 BHK Rs.1200 w.e.f April 2025</t>
  </si>
  <si>
    <t>Mintu Sk</t>
  </si>
  <si>
    <t>Omprakash</t>
  </si>
  <si>
    <t>Deb Kumar Mondal</t>
  </si>
  <si>
    <t>Nabin Chandra Das</t>
  </si>
  <si>
    <t>Shrabanti Sil Dhalla</t>
  </si>
  <si>
    <t>Soumen Patra</t>
  </si>
  <si>
    <t>Registration on 30/6/25</t>
  </si>
  <si>
    <t>Registration on 14/8/25</t>
  </si>
  <si>
    <t>EXPENSES APRIL'2025 TO AUGUST '2025 (Block - 2)</t>
  </si>
  <si>
    <t>Sr. No.</t>
  </si>
  <si>
    <t>Description</t>
  </si>
  <si>
    <t>April'25</t>
  </si>
  <si>
    <t>May'25</t>
  </si>
  <si>
    <t>June'25</t>
  </si>
  <si>
    <t>July'25</t>
  </si>
  <si>
    <t>August'25</t>
  </si>
  <si>
    <t>Remarks</t>
  </si>
  <si>
    <t xml:space="preserve">Amount </t>
  </si>
  <si>
    <t>Dt of Payment</t>
  </si>
  <si>
    <t>Cleaning Charges of Floors within Building (House Keeping) Paid on</t>
  </si>
  <si>
    <t xml:space="preserve">Cleaning Charges of VAT by takening form Residency to nearest Municipality Vat paid on </t>
  </si>
  <si>
    <t xml:space="preserve">WBSEDCL Electric Bill </t>
  </si>
  <si>
    <t>Rs 226/- paid to Gabinda due to off line payment during June'25</t>
  </si>
  <si>
    <t xml:space="preserve">Diesel for Digi Set with carriage on </t>
  </si>
  <si>
    <t>Miscellaneous Consumables &amp; Equipments for cleaning purpose</t>
  </si>
  <si>
    <t>Brash &amp; Paint</t>
  </si>
  <si>
    <t>Floor Cleaner</t>
  </si>
  <si>
    <t>CCTV Camera</t>
  </si>
  <si>
    <t xml:space="preserve">Meeting purpose </t>
  </si>
  <si>
    <t>2 Nos Iron Gate for Ground Floor</t>
  </si>
  <si>
    <t>Lock and Key</t>
  </si>
  <si>
    <t>Stationery Items for Official Purpose</t>
  </si>
  <si>
    <t xml:space="preserve">Over All </t>
  </si>
  <si>
    <t xml:space="preserve">Sl No </t>
  </si>
  <si>
    <t xml:space="preserve">Month </t>
  </si>
  <si>
    <t>Expenses</t>
  </si>
  <si>
    <t>Income from MC</t>
  </si>
  <si>
    <t>September'25</t>
  </si>
  <si>
    <t>Collection of Maintainance Charge (Tower-II) (Month wise)-2025/26</t>
  </si>
  <si>
    <t>Voucher No</t>
  </si>
  <si>
    <t>Security Guard 2 Person</t>
  </si>
  <si>
    <t>2 pcs Jharu</t>
  </si>
  <si>
    <t>10 Ltr Phinile</t>
  </si>
  <si>
    <t>Total Income
 ( MC + Balance)</t>
  </si>
  <si>
    <t xml:space="preserve">Miscellaneous </t>
  </si>
  <si>
    <t>4 Ltr Phinile</t>
  </si>
  <si>
    <t>15 August celebration cost and common meal (533 +1004)</t>
  </si>
  <si>
    <t>Income and Expenses Details April -25 Onwards</t>
  </si>
  <si>
    <t>Balance during the month</t>
  </si>
  <si>
    <t>Paid to Amaresh for Pump operating at night.</t>
  </si>
  <si>
    <t>Shanti Da Grill</t>
  </si>
  <si>
    <t>October'25</t>
  </si>
  <si>
    <t>Nemyle</t>
  </si>
  <si>
    <t>floor Mop</t>
  </si>
  <si>
    <t>Tea Biscuits</t>
  </si>
  <si>
    <t>2 nos. Neelkamal dustbin120 Ltr</t>
  </si>
  <si>
    <t>November'25</t>
  </si>
  <si>
    <t>December'25</t>
  </si>
  <si>
    <t>S G</t>
  </si>
  <si>
    <t>JANUARY'26</t>
  </si>
  <si>
    <t>7.11.25</t>
  </si>
  <si>
    <t>UPI</t>
  </si>
  <si>
    <t>5.11.25</t>
  </si>
  <si>
    <t>15.11.25</t>
  </si>
  <si>
    <t>Xerox</t>
  </si>
  <si>
    <t>Comminuty hall</t>
  </si>
  <si>
    <t>Diwali light decoration</t>
  </si>
  <si>
    <t>10.12.25</t>
  </si>
  <si>
    <t>1 security join from November</t>
  </si>
  <si>
    <t>13.12.25</t>
  </si>
  <si>
    <t>5.12.25</t>
  </si>
  <si>
    <t>17.12.25</t>
  </si>
  <si>
    <t>1800 paid on 9.12.25
5194 paid om 11.12.25</t>
  </si>
  <si>
    <t>9.12.25
11.12.25</t>
  </si>
  <si>
    <t>16.12.25
3.12.25</t>
  </si>
  <si>
    <t>2 time purchase Nemyle</t>
  </si>
  <si>
    <t>6.12.25</t>
  </si>
  <si>
    <t>11.1.26</t>
  </si>
  <si>
    <t>DG Service charge</t>
  </si>
  <si>
    <t xml:space="preserve"> 2 Pcs 
Jharu 
floor Mop 1pc</t>
  </si>
  <si>
    <t>Floor cleaning Acid &amp; others</t>
  </si>
  <si>
    <t>31.12.25</t>
  </si>
  <si>
    <t xml:space="preserve">Pay to Karan for cleaning </t>
  </si>
  <si>
    <t xml:space="preserve">2 pcs Nilkamal chair </t>
  </si>
  <si>
    <t>February'26</t>
  </si>
  <si>
    <t>March'26</t>
  </si>
  <si>
    <t>chair&amp; Table 24*6</t>
  </si>
  <si>
    <t>Demise of Bapi's Dad</t>
  </si>
  <si>
    <t>Construction &amp; Maintainance</t>
  </si>
  <si>
    <t>Floor Tiles under Starecase</t>
  </si>
  <si>
    <t>2Pcs 
Jharu &amp;
floor Mop 1pc</t>
  </si>
  <si>
    <t>Floor cleaning Acid Collin</t>
  </si>
  <si>
    <t>advance 500</t>
  </si>
  <si>
    <t>80 Ltr Disel</t>
  </si>
  <si>
    <t>Satranji</t>
  </si>
  <si>
    <t>April'26</t>
  </si>
  <si>
    <t>May'26</t>
  </si>
  <si>
    <t>3 security guards</t>
  </si>
  <si>
    <t>3 Persons</t>
  </si>
  <si>
    <t xml:space="preserve">Cement Sand Labour Charge . </t>
  </si>
  <si>
    <t>Women Day celebration (pen-900+ Cadbery-1170)</t>
  </si>
  <si>
    <t xml:space="preserve">Induction oven </t>
  </si>
  <si>
    <t>Phnyle</t>
  </si>
  <si>
    <t>Phnyle 10 Ltr</t>
  </si>
  <si>
    <t>Stand Fan</t>
  </si>
  <si>
    <t>1500 for vat cleaning and 1000 for drain .</t>
  </si>
  <si>
    <t>2 Jharu &amp; 1 Floor Mop</t>
  </si>
  <si>
    <t>Plumbing meterials for 2 nos water point</t>
  </si>
  <si>
    <t>1000 paid as advance on 14/5</t>
  </si>
  <si>
    <t>750- cement
90 white cement
480 stone chips
30 Jhali
800+1500+1950 labour charges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</si>
</sst>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;###0"/>
    <numFmt numFmtId="165" formatCode="\₹\ #,##0.00"/>
    <numFmt numFmtId="166" formatCode="\₹\ 0.00"/>
    <numFmt numFmtId="167" formatCode="\₹\ #,##0.00;[Red]\₹\ #,##0.00"/>
  </numFmts>
  <fonts count="38">
    <font>
      <sz val="10"/>
      <color rgb="FF000000"/>
      <name val="Times New Roman"/>
      <charset val="204"/>
    </font>
    <font>
      <b/>
      <sz val="16"/>
      <name val="Times New Roman"/>
      <family val="1"/>
    </font>
    <font>
      <b/>
      <sz val="12"/>
      <color rgb="FF000000"/>
      <name val="Times New Roman"/>
      <family val="1"/>
    </font>
    <font>
      <b/>
      <sz val="16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Times New Roman"/>
      <family val="1"/>
    </font>
    <font>
      <b/>
      <sz val="14"/>
      <color rgb="FF000000"/>
      <name val="Times New Roman"/>
      <family val="1"/>
    </font>
    <font>
      <sz val="18"/>
      <color rgb="FF000000"/>
      <name val="Times New Roman"/>
      <family val="1"/>
    </font>
    <font>
      <sz val="18"/>
      <name val="Times New Roman"/>
      <family val="1"/>
    </font>
    <font>
      <b/>
      <sz val="18"/>
      <color rgb="FF000000"/>
      <name val="Times New Roman"/>
      <family val="1"/>
    </font>
    <font>
      <b/>
      <sz val="20"/>
      <color rgb="FF000000"/>
      <name val="Times New Roman"/>
      <family val="1"/>
    </font>
    <font>
      <b/>
      <sz val="10"/>
      <color rgb="FF000000"/>
      <name val="Times New Roman"/>
      <family val="1"/>
    </font>
    <font>
      <u/>
      <sz val="16"/>
      <color rgb="FF000000"/>
      <name val="Times New Roman"/>
      <family val="1"/>
    </font>
    <font>
      <b/>
      <sz val="18"/>
      <color rgb="FFFF0000"/>
      <name val="Times New Roman"/>
      <family val="1"/>
    </font>
    <font>
      <sz val="18"/>
      <color rgb="FFFF0000"/>
      <name val="Times New Roman"/>
      <family val="1"/>
    </font>
    <font>
      <b/>
      <sz val="24"/>
      <color rgb="FFFFFF00"/>
      <name val="Times New Roman"/>
      <family val="1"/>
    </font>
    <font>
      <sz val="14"/>
      <color rgb="FF000000"/>
      <name val="Times New Roman"/>
      <family val="1"/>
    </font>
    <font>
      <b/>
      <sz val="16"/>
      <name val="Verdana"/>
      <family val="2"/>
    </font>
    <font>
      <b/>
      <sz val="11"/>
      <name val="Arial MT"/>
      <family val="2"/>
    </font>
    <font>
      <b/>
      <sz val="14"/>
      <name val="Arial MT"/>
      <family val="2"/>
    </font>
    <font>
      <sz val="10"/>
      <color rgb="FF000000"/>
      <name val="Times New Roman"/>
      <family val="1"/>
    </font>
    <font>
      <b/>
      <sz val="11"/>
      <color rgb="FF000000"/>
      <name val="Arial MT"/>
      <family val="2"/>
    </font>
    <font>
      <b/>
      <sz val="14"/>
      <name val="Times New Roman"/>
      <family val="1"/>
    </font>
    <font>
      <b/>
      <sz val="11"/>
      <name val="Arial MT"/>
    </font>
    <font>
      <b/>
      <sz val="10"/>
      <name val="Arial MT"/>
    </font>
    <font>
      <b/>
      <sz val="14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6"/>
      <name val="Arial"/>
      <family val="2"/>
    </font>
    <font>
      <sz val="16"/>
      <color rgb="FF000000"/>
      <name val="Times New Roman"/>
      <family val="1"/>
    </font>
    <font>
      <b/>
      <u/>
      <sz val="24"/>
      <name val="Times New Roman"/>
      <family val="1"/>
    </font>
    <font>
      <b/>
      <sz val="12"/>
      <color rgb="FF00B050"/>
      <name val="Times New Roman"/>
      <family val="1"/>
    </font>
    <font>
      <sz val="10"/>
      <color rgb="FF00B050"/>
      <name val="Times New Roman"/>
      <family val="1"/>
    </font>
    <font>
      <b/>
      <sz val="24"/>
      <color rgb="FF000000"/>
      <name val="Times New Roman"/>
      <family val="1"/>
    </font>
    <font>
      <sz val="8"/>
      <color rgb="FFFF0000"/>
      <name val="Times New Roman"/>
      <family val="1"/>
    </font>
    <font>
      <b/>
      <sz val="14"/>
      <color rgb="FFFF0000"/>
      <name val="Times New Roman"/>
      <family val="1"/>
    </font>
    <font>
      <sz val="10"/>
      <name val="Times New Roman"/>
      <family val="1"/>
    </font>
    <font>
      <sz val="8"/>
      <color rgb="FF000000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DEBE1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6">
    <xf numFmtId="0" fontId="0" fillId="0" borderId="0" xfId="0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7" xfId="0" applyBorder="1" applyAlignment="1">
      <alignment vertical="top"/>
    </xf>
    <xf numFmtId="0" fontId="0" fillId="0" borderId="0" xfId="0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4" fillId="0" borderId="0" xfId="0" applyFont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3" xfId="0" applyBorder="1" applyAlignment="1">
      <alignment horizontal="left" vertical="top"/>
    </xf>
    <xf numFmtId="0" fontId="6" fillId="0" borderId="4" xfId="0" applyFont="1" applyBorder="1" applyAlignment="1">
      <alignment horizontal="center" vertical="top"/>
    </xf>
    <xf numFmtId="164" fontId="7" fillId="0" borderId="1" xfId="0" applyNumberFormat="1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2" xfId="0" applyFont="1" applyBorder="1" applyAlignment="1">
      <alignment horizontal="center" vertical="top" wrapText="1"/>
    </xf>
    <xf numFmtId="164" fontId="7" fillId="0" borderId="2" xfId="0" applyNumberFormat="1" applyFont="1" applyBorder="1" applyAlignment="1">
      <alignment horizontal="center" vertical="top" wrapText="1"/>
    </xf>
    <xf numFmtId="0" fontId="7" fillId="0" borderId="4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164" fontId="7" fillId="0" borderId="10" xfId="0" applyNumberFormat="1" applyFont="1" applyBorder="1" applyAlignment="1">
      <alignment horizontal="center" vertical="top" wrapText="1"/>
    </xf>
    <xf numFmtId="0" fontId="9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16" fontId="7" fillId="0" borderId="4" xfId="0" applyNumberFormat="1" applyFont="1" applyBorder="1" applyAlignment="1">
      <alignment horizontal="center" vertical="top"/>
    </xf>
    <xf numFmtId="16" fontId="7" fillId="0" borderId="5" xfId="0" applyNumberFormat="1" applyFont="1" applyBorder="1" applyAlignment="1">
      <alignment horizontal="center" vertical="top"/>
    </xf>
    <xf numFmtId="164" fontId="7" fillId="4" borderId="1" xfId="0" applyNumberFormat="1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center" vertical="top" wrapText="1"/>
    </xf>
    <xf numFmtId="0" fontId="8" fillId="4" borderId="2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4" xfId="0" applyFont="1" applyFill="1" applyBorder="1" applyAlignment="1">
      <alignment horizontal="center" vertical="top"/>
    </xf>
    <xf numFmtId="0" fontId="7" fillId="4" borderId="5" xfId="0" applyFont="1" applyFill="1" applyBorder="1" applyAlignment="1">
      <alignment horizontal="center" vertical="top"/>
    </xf>
    <xf numFmtId="0" fontId="0" fillId="4" borderId="4" xfId="0" applyFill="1" applyBorder="1" applyAlignment="1">
      <alignment horizontal="left" vertical="top"/>
    </xf>
    <xf numFmtId="0" fontId="0" fillId="4" borderId="0" xfId="0" applyFill="1" applyAlignment="1">
      <alignment horizontal="left" vertical="top"/>
    </xf>
    <xf numFmtId="0" fontId="8" fillId="4" borderId="1" xfId="0" applyFont="1" applyFill="1" applyBorder="1" applyAlignment="1">
      <alignment horizontal="left" vertical="top" wrapText="1"/>
    </xf>
    <xf numFmtId="164" fontId="7" fillId="4" borderId="2" xfId="0" applyNumberFormat="1" applyFont="1" applyFill="1" applyBorder="1" applyAlignment="1">
      <alignment horizontal="center" vertical="top" wrapText="1"/>
    </xf>
    <xf numFmtId="0" fontId="11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center" vertical="top"/>
    </xf>
    <xf numFmtId="17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top"/>
    </xf>
    <xf numFmtId="0" fontId="9" fillId="0" borderId="5" xfId="0" applyFont="1" applyBorder="1" applyAlignment="1">
      <alignment horizontal="center" vertical="top"/>
    </xf>
    <xf numFmtId="0" fontId="9" fillId="4" borderId="5" xfId="0" applyFont="1" applyFill="1" applyBorder="1" applyAlignment="1">
      <alignment horizontal="center" vertical="top"/>
    </xf>
    <xf numFmtId="0" fontId="13" fillId="0" borderId="5" xfId="0" applyFont="1" applyBorder="1" applyAlignment="1">
      <alignment horizontal="center" vertical="top"/>
    </xf>
    <xf numFmtId="0" fontId="9" fillId="0" borderId="14" xfId="0" applyFont="1" applyBorder="1" applyAlignment="1">
      <alignment horizontal="center" vertical="top"/>
    </xf>
    <xf numFmtId="0" fontId="11" fillId="4" borderId="4" xfId="0" applyFont="1" applyFill="1" applyBorder="1" applyAlignment="1">
      <alignment horizontal="left" vertical="top"/>
    </xf>
    <xf numFmtId="0" fontId="11" fillId="0" borderId="13" xfId="0" applyFont="1" applyBorder="1" applyAlignment="1">
      <alignment horizontal="left" vertical="top"/>
    </xf>
    <xf numFmtId="0" fontId="0" fillId="6" borderId="4" xfId="0" applyFill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7" fillId="9" borderId="1" xfId="0" applyFont="1" applyFill="1" applyBorder="1" applyAlignment="1">
      <alignment horizontal="left" vertical="top" wrapText="1"/>
    </xf>
    <xf numFmtId="164" fontId="7" fillId="4" borderId="10" xfId="0" applyNumberFormat="1" applyFont="1" applyFill="1" applyBorder="1" applyAlignment="1">
      <alignment horizontal="center" vertical="top" wrapText="1"/>
    </xf>
    <xf numFmtId="0" fontId="8" fillId="4" borderId="11" xfId="0" applyFont="1" applyFill="1" applyBorder="1" applyAlignment="1">
      <alignment horizontal="left" vertical="top" wrapText="1"/>
    </xf>
    <xf numFmtId="0" fontId="8" fillId="4" borderId="12" xfId="0" applyFont="1" applyFill="1" applyBorder="1" applyAlignment="1">
      <alignment horizontal="center" vertical="top" wrapText="1"/>
    </xf>
    <xf numFmtId="0" fontId="8" fillId="4" borderId="8" xfId="0" applyFont="1" applyFill="1" applyBorder="1" applyAlignment="1">
      <alignment horizontal="center" vertical="top" wrapText="1"/>
    </xf>
    <xf numFmtId="164" fontId="7" fillId="4" borderId="11" xfId="0" applyNumberFormat="1" applyFont="1" applyFill="1" applyBorder="1" applyAlignment="1">
      <alignment horizontal="center" vertical="top" wrapText="1"/>
    </xf>
    <xf numFmtId="0" fontId="7" fillId="4" borderId="13" xfId="0" applyFont="1" applyFill="1" applyBorder="1" applyAlignment="1">
      <alignment horizontal="center" vertical="top"/>
    </xf>
    <xf numFmtId="0" fontId="9" fillId="4" borderId="13" xfId="0" applyFont="1" applyFill="1" applyBorder="1" applyAlignment="1">
      <alignment horizontal="center" vertical="top"/>
    </xf>
    <xf numFmtId="0" fontId="7" fillId="4" borderId="14" xfId="0" applyFont="1" applyFill="1" applyBorder="1" applyAlignment="1">
      <alignment horizontal="center" vertical="top"/>
    </xf>
    <xf numFmtId="0" fontId="9" fillId="4" borderId="14" xfId="0" applyFont="1" applyFill="1" applyBorder="1" applyAlignment="1">
      <alignment horizontal="center" vertical="top"/>
    </xf>
    <xf numFmtId="0" fontId="11" fillId="4" borderId="13" xfId="0" applyFont="1" applyFill="1" applyBorder="1" applyAlignment="1">
      <alignment horizontal="left" vertical="top"/>
    </xf>
    <xf numFmtId="0" fontId="0" fillId="4" borderId="13" xfId="0" applyFill="1" applyBorder="1" applyAlignment="1">
      <alignment horizontal="left" vertical="top"/>
    </xf>
    <xf numFmtId="0" fontId="14" fillId="4" borderId="1" xfId="0" applyFont="1" applyFill="1" applyBorder="1" applyAlignment="1">
      <alignment horizontal="left" vertical="top" wrapText="1"/>
    </xf>
    <xf numFmtId="17" fontId="4" fillId="12" borderId="4" xfId="0" applyNumberFormat="1" applyFont="1" applyFill="1" applyBorder="1" applyAlignment="1">
      <alignment horizontal="center" vertical="center"/>
    </xf>
    <xf numFmtId="0" fontId="9" fillId="10" borderId="4" xfId="0" applyFont="1" applyFill="1" applyBorder="1" applyAlignment="1">
      <alignment horizontal="center" vertical="top"/>
    </xf>
    <xf numFmtId="0" fontId="9" fillId="10" borderId="5" xfId="0" applyFont="1" applyFill="1" applyBorder="1" applyAlignment="1">
      <alignment horizontal="center" vertical="top"/>
    </xf>
    <xf numFmtId="14" fontId="16" fillId="0" borderId="4" xfId="0" applyNumberFormat="1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1" fontId="21" fillId="0" borderId="17" xfId="0" applyNumberFormat="1" applyFont="1" applyBorder="1" applyAlignment="1">
      <alignment horizontal="center" vertical="center" shrinkToFit="1"/>
    </xf>
    <xf numFmtId="0" fontId="18" fillId="0" borderId="18" xfId="0" applyFont="1" applyBorder="1" applyAlignment="1">
      <alignment horizontal="left" vertical="center" wrapText="1"/>
    </xf>
    <xf numFmtId="166" fontId="6" fillId="15" borderId="4" xfId="0" applyNumberFormat="1" applyFont="1" applyFill="1" applyBorder="1" applyAlignment="1">
      <alignment horizontal="center" vertical="center" shrinkToFit="1"/>
    </xf>
    <xf numFmtId="0" fontId="22" fillId="15" borderId="4" xfId="0" applyFont="1" applyFill="1" applyBorder="1" applyAlignment="1">
      <alignment horizontal="center" vertical="center" wrapText="1"/>
    </xf>
    <xf numFmtId="166" fontId="6" fillId="0" borderId="4" xfId="0" applyNumberFormat="1" applyFont="1" applyBorder="1" applyAlignment="1">
      <alignment horizontal="center" vertical="center" shrinkToFit="1"/>
    </xf>
    <xf numFmtId="0" fontId="22" fillId="0" borderId="4" xfId="0" applyFont="1" applyBorder="1" applyAlignment="1">
      <alignment horizontal="center" vertical="center" wrapText="1"/>
    </xf>
    <xf numFmtId="165" fontId="6" fillId="0" borderId="4" xfId="0" applyNumberFormat="1" applyFont="1" applyBorder="1" applyAlignment="1">
      <alignment horizontal="center" vertical="center" shrinkToFit="1"/>
    </xf>
    <xf numFmtId="0" fontId="0" fillId="0" borderId="4" xfId="0" applyBorder="1" applyAlignment="1">
      <alignment horizontal="left" vertical="center" wrapText="1"/>
    </xf>
    <xf numFmtId="1" fontId="21" fillId="0" borderId="1" xfId="0" applyNumberFormat="1" applyFont="1" applyBorder="1" applyAlignment="1">
      <alignment horizontal="center" vertical="center" shrinkToFit="1"/>
    </xf>
    <xf numFmtId="0" fontId="18" fillId="0" borderId="2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/>
    </xf>
    <xf numFmtId="16" fontId="22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167" fontId="22" fillId="0" borderId="4" xfId="0" applyNumberFormat="1" applyFont="1" applyBorder="1" applyAlignment="1">
      <alignment horizontal="center" vertical="center" shrinkToFit="1"/>
    </xf>
    <xf numFmtId="1" fontId="21" fillId="0" borderId="22" xfId="0" applyNumberFormat="1" applyFont="1" applyBorder="1" applyAlignment="1">
      <alignment horizontal="center" vertical="center" shrinkToFit="1"/>
    </xf>
    <xf numFmtId="0" fontId="11" fillId="0" borderId="24" xfId="0" applyFont="1" applyBorder="1" applyAlignment="1">
      <alignment horizontal="center" vertical="center"/>
    </xf>
    <xf numFmtId="0" fontId="24" fillId="0" borderId="2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left" vertical="top"/>
    </xf>
    <xf numFmtId="0" fontId="29" fillId="14" borderId="4" xfId="0" applyFont="1" applyFill="1" applyBorder="1" applyAlignment="1">
      <alignment horizontal="left" vertical="center" wrapText="1"/>
    </xf>
    <xf numFmtId="0" fontId="20" fillId="0" borderId="4" xfId="0" applyFont="1" applyBorder="1" applyAlignment="1">
      <alignment horizontal="left" vertical="top"/>
    </xf>
    <xf numFmtId="0" fontId="7" fillId="14" borderId="0" xfId="0" applyFont="1" applyFill="1" applyAlignment="1">
      <alignment horizontal="center" vertical="top"/>
    </xf>
    <xf numFmtId="0" fontId="9" fillId="14" borderId="0" xfId="0" applyFont="1" applyFill="1" applyAlignment="1">
      <alignment horizontal="center" vertical="top"/>
    </xf>
    <xf numFmtId="0" fontId="11" fillId="14" borderId="4" xfId="0" applyFont="1" applyFill="1" applyBorder="1" applyAlignment="1">
      <alignment horizontal="left" vertical="top"/>
    </xf>
    <xf numFmtId="0" fontId="0" fillId="14" borderId="4" xfId="0" applyFill="1" applyBorder="1" applyAlignment="1">
      <alignment horizontal="left" vertical="top"/>
    </xf>
    <xf numFmtId="0" fontId="20" fillId="14" borderId="4" xfId="0" applyFont="1" applyFill="1" applyBorder="1" applyAlignment="1">
      <alignment vertical="center"/>
    </xf>
    <xf numFmtId="16" fontId="6" fillId="0" borderId="4" xfId="0" applyNumberFormat="1" applyFont="1" applyBorder="1" applyAlignment="1">
      <alignment horizontal="center" vertical="center"/>
    </xf>
    <xf numFmtId="166" fontId="3" fillId="14" borderId="4" xfId="0" applyNumberFormat="1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left" vertical="top" wrapText="1"/>
    </xf>
    <xf numFmtId="0" fontId="11" fillId="4" borderId="4" xfId="0" applyFont="1" applyFill="1" applyBorder="1" applyAlignment="1">
      <alignment horizontal="left" vertical="top" wrapText="1"/>
    </xf>
    <xf numFmtId="0" fontId="11" fillId="5" borderId="4" xfId="0" applyFont="1" applyFill="1" applyBorder="1" applyAlignment="1">
      <alignment horizontal="left" vertical="top"/>
    </xf>
    <xf numFmtId="0" fontId="0" fillId="0" borderId="4" xfId="0" applyBorder="1" applyAlignment="1">
      <alignment horizontal="center" vertical="top"/>
    </xf>
    <xf numFmtId="0" fontId="32" fillId="0" borderId="4" xfId="0" applyFont="1" applyBorder="1" applyAlignment="1">
      <alignment horizontal="left" vertical="top"/>
    </xf>
    <xf numFmtId="17" fontId="20" fillId="0" borderId="4" xfId="0" applyNumberFormat="1" applyFont="1" applyBorder="1" applyAlignment="1">
      <alignment horizontal="left" vertical="top"/>
    </xf>
    <xf numFmtId="0" fontId="11" fillId="16" borderId="4" xfId="0" applyFont="1" applyFill="1" applyBorder="1" applyAlignment="1">
      <alignment horizontal="left" vertical="top" wrapText="1"/>
    </xf>
    <xf numFmtId="166" fontId="22" fillId="0" borderId="4" xfId="0" applyNumberFormat="1" applyFont="1" applyBorder="1" applyAlignment="1">
      <alignment horizontal="center" vertical="center" shrinkToFit="1"/>
    </xf>
    <xf numFmtId="165" fontId="22" fillId="0" borderId="4" xfId="0" applyNumberFormat="1" applyFont="1" applyBorder="1" applyAlignment="1">
      <alignment horizontal="center" vertical="center" shrinkToFit="1"/>
    </xf>
    <xf numFmtId="16" fontId="6" fillId="0" borderId="4" xfId="0" applyNumberFormat="1" applyFont="1" applyBorder="1" applyAlignment="1">
      <alignment horizontal="center" vertical="center" wrapText="1"/>
    </xf>
    <xf numFmtId="0" fontId="9" fillId="6" borderId="4" xfId="0" applyFont="1" applyFill="1" applyBorder="1" applyAlignment="1">
      <alignment horizontal="center" vertical="top"/>
    </xf>
    <xf numFmtId="0" fontId="0" fillId="17" borderId="4" xfId="0" applyFill="1" applyBorder="1" applyAlignment="1">
      <alignment horizontal="left" vertical="top"/>
    </xf>
    <xf numFmtId="0" fontId="0" fillId="10" borderId="4" xfId="0" applyFill="1" applyBorder="1" applyAlignment="1">
      <alignment horizontal="left" vertical="top"/>
    </xf>
    <xf numFmtId="16" fontId="7" fillId="10" borderId="5" xfId="0" applyNumberFormat="1" applyFont="1" applyFill="1" applyBorder="1" applyAlignment="1">
      <alignment horizontal="center" vertical="top"/>
    </xf>
    <xf numFmtId="0" fontId="31" fillId="0" borderId="4" xfId="0" applyFont="1" applyBorder="1" applyAlignment="1">
      <alignment horizontal="center" vertical="center"/>
    </xf>
    <xf numFmtId="0" fontId="34" fillId="4" borderId="0" xfId="0" applyFont="1" applyFill="1" applyAlignment="1">
      <alignment horizontal="left" vertical="top"/>
    </xf>
    <xf numFmtId="0" fontId="11" fillId="0" borderId="27" xfId="0" applyFont="1" applyBorder="1" applyAlignment="1">
      <alignment horizontal="center" vertical="center"/>
    </xf>
    <xf numFmtId="0" fontId="24" fillId="0" borderId="11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16" fontId="35" fillId="0" borderId="4" xfId="0" applyNumberFormat="1" applyFont="1" applyBorder="1" applyAlignment="1">
      <alignment horizontal="center" vertical="center"/>
    </xf>
    <xf numFmtId="0" fontId="20" fillId="6" borderId="4" xfId="0" applyFont="1" applyFill="1" applyBorder="1" applyAlignment="1">
      <alignment horizontal="left" vertical="center" wrapText="1"/>
    </xf>
    <xf numFmtId="0" fontId="4" fillId="6" borderId="4" xfId="0" applyFont="1" applyFill="1" applyBorder="1" applyAlignment="1">
      <alignment horizontal="left" vertical="center" wrapText="1"/>
    </xf>
    <xf numFmtId="0" fontId="19" fillId="4" borderId="5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17" fillId="13" borderId="15" xfId="0" applyFont="1" applyFill="1" applyBorder="1" applyAlignment="1">
      <alignment horizontal="center" vertical="center" wrapText="1"/>
    </xf>
    <xf numFmtId="0" fontId="17" fillId="13" borderId="16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1" fontId="21" fillId="0" borderId="12" xfId="0" applyNumberFormat="1" applyFont="1" applyBorder="1" applyAlignment="1">
      <alignment horizontal="center" vertical="center" shrinkToFit="1"/>
    </xf>
    <xf numFmtId="1" fontId="21" fillId="0" borderId="20" xfId="0" applyNumberFormat="1" applyFont="1" applyBorder="1" applyAlignment="1">
      <alignment horizontal="center" vertical="center" shrinkToFit="1"/>
    </xf>
    <xf numFmtId="1" fontId="21" fillId="0" borderId="22" xfId="0" applyNumberFormat="1" applyFont="1" applyBorder="1" applyAlignment="1">
      <alignment horizontal="center" vertical="center" shrinkToFit="1"/>
    </xf>
    <xf numFmtId="0" fontId="18" fillId="0" borderId="19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166" fontId="6" fillId="15" borderId="13" xfId="0" applyNumberFormat="1" applyFont="1" applyFill="1" applyBorder="1" applyAlignment="1">
      <alignment horizontal="center" vertical="center" shrinkToFit="1"/>
    </xf>
    <xf numFmtId="166" fontId="6" fillId="15" borderId="25" xfId="0" applyNumberFormat="1" applyFont="1" applyFill="1" applyBorder="1" applyAlignment="1">
      <alignment horizontal="center" vertical="center" shrinkToFit="1"/>
    </xf>
    <xf numFmtId="166" fontId="6" fillId="15" borderId="26" xfId="0" applyNumberFormat="1" applyFont="1" applyFill="1" applyBorder="1" applyAlignment="1">
      <alignment horizontal="center" vertical="center" shrinkToFit="1"/>
    </xf>
    <xf numFmtId="0" fontId="22" fillId="15" borderId="13" xfId="0" applyFont="1" applyFill="1" applyBorder="1" applyAlignment="1">
      <alignment horizontal="center" vertical="center" wrapText="1"/>
    </xf>
    <xf numFmtId="0" fontId="22" fillId="15" borderId="25" xfId="0" applyFont="1" applyFill="1" applyBorder="1" applyAlignment="1">
      <alignment horizontal="center" vertical="center" wrapText="1"/>
    </xf>
    <xf numFmtId="0" fontId="22" fillId="15" borderId="26" xfId="0" applyFont="1" applyFill="1" applyBorder="1" applyAlignment="1">
      <alignment horizontal="center" vertical="center" wrapText="1"/>
    </xf>
    <xf numFmtId="166" fontId="6" fillId="0" borderId="13" xfId="0" applyNumberFormat="1" applyFont="1" applyBorder="1" applyAlignment="1">
      <alignment horizontal="center" vertical="center" shrinkToFit="1"/>
    </xf>
    <xf numFmtId="166" fontId="6" fillId="0" borderId="25" xfId="0" applyNumberFormat="1" applyFont="1" applyBorder="1" applyAlignment="1">
      <alignment horizontal="center" vertical="center" shrinkToFit="1"/>
    </xf>
    <xf numFmtId="166" fontId="6" fillId="0" borderId="26" xfId="0" applyNumberFormat="1" applyFont="1" applyBorder="1" applyAlignment="1">
      <alignment horizontal="center" vertical="center" shrinkToFit="1"/>
    </xf>
    <xf numFmtId="16" fontId="22" fillId="0" borderId="13" xfId="0" applyNumberFormat="1" applyFont="1" applyBorder="1" applyAlignment="1">
      <alignment horizontal="center" vertical="center" wrapText="1"/>
    </xf>
    <xf numFmtId="16" fontId="22" fillId="0" borderId="25" xfId="0" applyNumberFormat="1" applyFont="1" applyBorder="1" applyAlignment="1">
      <alignment horizontal="center" vertical="center" wrapText="1"/>
    </xf>
    <xf numFmtId="16" fontId="22" fillId="0" borderId="26" xfId="0" applyNumberFormat="1" applyFont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25" xfId="0" applyFont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7" borderId="5" xfId="0" applyFont="1" applyFill="1" applyBorder="1" applyAlignment="1">
      <alignment horizontal="center" vertical="center" wrapText="1"/>
    </xf>
    <xf numFmtId="0" fontId="19" fillId="7" borderId="7" xfId="0" applyFont="1" applyFill="1" applyBorder="1" applyAlignment="1">
      <alignment horizontal="center" vertical="center" wrapText="1"/>
    </xf>
    <xf numFmtId="0" fontId="19" fillId="7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166" fontId="10" fillId="0" borderId="4" xfId="0" applyNumberFormat="1" applyFont="1" applyBorder="1" applyAlignment="1">
      <alignment horizontal="center" vertical="center" shrinkToFit="1"/>
    </xf>
    <xf numFmtId="16" fontId="6" fillId="0" borderId="13" xfId="0" applyNumberFormat="1" applyFont="1" applyBorder="1" applyAlignment="1">
      <alignment horizontal="center" vertical="center"/>
    </xf>
    <xf numFmtId="16" fontId="6" fillId="0" borderId="26" xfId="0" applyNumberFormat="1" applyFont="1" applyBorder="1" applyAlignment="1">
      <alignment horizontal="center" vertical="center"/>
    </xf>
    <xf numFmtId="0" fontId="28" fillId="14" borderId="5" xfId="0" applyFont="1" applyFill="1" applyBorder="1" applyAlignment="1">
      <alignment horizontal="center" vertical="center" wrapText="1"/>
    </xf>
    <xf numFmtId="0" fontId="28" fillId="14" borderId="6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" fontId="6" fillId="0" borderId="25" xfId="0" applyNumberFormat="1" applyFont="1" applyBorder="1" applyAlignment="1">
      <alignment horizontal="center" vertical="center"/>
    </xf>
    <xf numFmtId="17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7" fontId="10" fillId="7" borderId="4" xfId="0" applyNumberFormat="1" applyFont="1" applyFill="1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/>
    </xf>
    <xf numFmtId="17" fontId="10" fillId="3" borderId="4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1" fillId="8" borderId="2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center" vertical="top" wrapText="1"/>
    </xf>
    <xf numFmtId="0" fontId="1" fillId="8" borderId="9" xfId="0" applyFont="1" applyFill="1" applyBorder="1" applyAlignment="1">
      <alignment horizontal="center" vertical="top" wrapText="1"/>
    </xf>
    <xf numFmtId="0" fontId="1" fillId="14" borderId="2" xfId="0" applyFont="1" applyFill="1" applyBorder="1" applyAlignment="1">
      <alignment horizontal="center" vertical="top" wrapText="1"/>
    </xf>
    <xf numFmtId="0" fontId="1" fillId="14" borderId="3" xfId="0" applyFont="1" applyFill="1" applyBorder="1" applyAlignment="1">
      <alignment horizontal="center" vertical="top" wrapText="1"/>
    </xf>
    <xf numFmtId="0" fontId="1" fillId="14" borderId="9" xfId="0" applyFont="1" applyFill="1" applyBorder="1" applyAlignment="1">
      <alignment horizontal="center" vertical="top" wrapText="1"/>
    </xf>
    <xf numFmtId="0" fontId="33" fillId="3" borderId="27" xfId="0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top" wrapText="1"/>
    </xf>
    <xf numFmtId="0" fontId="15" fillId="11" borderId="5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5" xfId="0" applyFont="1" applyFill="1" applyBorder="1" applyAlignment="1">
      <alignment horizontal="center" vertical="top"/>
    </xf>
    <xf numFmtId="0" fontId="15" fillId="11" borderId="7" xfId="0" applyFont="1" applyFill="1" applyBorder="1" applyAlignment="1">
      <alignment horizontal="center" vertical="top"/>
    </xf>
    <xf numFmtId="0" fontId="15" fillId="11" borderId="6" xfId="0" applyFont="1" applyFill="1" applyBorder="1" applyAlignment="1">
      <alignment horizontal="center" vertical="top"/>
    </xf>
    <xf numFmtId="0" fontId="30" fillId="0" borderId="0" xfId="0" applyFont="1" applyAlignment="1">
      <alignment horizontal="center" vertical="top"/>
    </xf>
    <xf numFmtId="0" fontId="12" fillId="0" borderId="0" xfId="0" applyFont="1" applyAlignment="1">
      <alignment horizontal="center" vertical="top" wrapText="1"/>
    </xf>
    <xf numFmtId="0" fontId="11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0" fontId="36" fillId="10" borderId="4" xfId="0" applyFont="1" applyFill="1" applyBorder="1" applyAlignment="1">
      <alignment horizontal="left" vertical="center" wrapText="1"/>
    </xf>
    <xf numFmtId="0" fontId="20" fillId="10" borderId="4" xfId="0" applyFont="1" applyFill="1" applyBorder="1" applyAlignment="1">
      <alignment horizontal="left" vertical="center" wrapText="1"/>
    </xf>
    <xf numFmtId="0" fontId="4" fillId="10" borderId="4" xfId="0" applyFont="1" applyFill="1" applyBorder="1" applyAlignment="1">
      <alignment horizontal="left" vertical="center" wrapText="1"/>
    </xf>
    <xf numFmtId="16" fontId="22" fillId="0" borderId="4" xfId="0" applyNumberFormat="1" applyFont="1" applyBorder="1" applyAlignment="1">
      <alignment horizontal="center" vertical="center"/>
    </xf>
    <xf numFmtId="0" fontId="37" fillId="1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ABIR AHAMMED" id="{A2C3AF5E-E5C5-4264-A5BF-9D85F8199F8C}" userId="2999906590db14f6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7" dT="2025-10-07T14:59:28.03" personId="{A2C3AF5E-E5C5-4264-A5BF-9D85F8199F8C}" id="{9CC29A30-9507-4B8C-9111-ED98EC4BA602}">
    <text>Due Rs 200</text>
  </threadedComment>
  <threadedComment ref="T7" dT="2025-10-07T14:59:28.03" personId="{A2C3AF5E-E5C5-4264-A5BF-9D85F8199F8C}" id="{40440B97-6B7D-42C7-8538-10C04330F227}">
    <text>Due Rs 200</text>
  </threadedComment>
  <threadedComment ref="V7" dT="2025-10-07T14:59:28.03" personId="{A2C3AF5E-E5C5-4264-A5BF-9D85F8199F8C}" id="{43FCA51E-B18F-41D5-BE72-62BCDD2FBE8B}">
    <text>Due Rs 200</text>
  </threadedComment>
  <threadedComment ref="X7" dT="2025-10-07T14:59:28.03" personId="{A2C3AF5E-E5C5-4264-A5BF-9D85F8199F8C}" id="{D75D2CAA-C58D-4CBA-8F78-213BE26AA156}">
    <text>Due Rs 200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81"/>
  <sheetViews>
    <sheetView zoomScale="50" zoomScaleNormal="50" zoomScaleSheetLayoutView="55" workbookViewId="0">
      <pane ySplit="1" topLeftCell="A65" activePane="bottomLeft" state="frozen"/>
      <selection pane="bottomLeft" activeCell="AF8" sqref="AF8"/>
    </sheetView>
  </sheetViews>
  <sheetFormatPr defaultColWidth="9.296875" defaultRowHeight="13"/>
  <cols>
    <col min="1" max="1" width="14.19921875" customWidth="1"/>
    <col min="2" max="2" width="49.296875" bestFit="1" customWidth="1"/>
    <col min="3" max="3" width="16.19921875" customWidth="1"/>
    <col min="4" max="4" width="20" hidden="1" customWidth="1"/>
    <col min="5" max="5" width="22.5" style="3" hidden="1" customWidth="1"/>
    <col min="6" max="6" width="16.19921875" style="3" hidden="1" customWidth="1"/>
    <col min="7" max="7" width="16.69921875" style="3" hidden="1" customWidth="1"/>
    <col min="8" max="9" width="17.796875" style="3" hidden="1" customWidth="1"/>
    <col min="10" max="10" width="18" style="3" hidden="1" customWidth="1"/>
    <col min="11" max="11" width="15.69921875" style="3" hidden="1" customWidth="1"/>
    <col min="12" max="12" width="20.19921875" style="3" hidden="1" customWidth="1"/>
    <col min="13" max="13" width="15.8984375" style="3" hidden="1" customWidth="1"/>
    <col min="14" max="14" width="21.296875" style="3" hidden="1" customWidth="1"/>
    <col min="15" max="15" width="18.5" style="3" hidden="1" customWidth="1"/>
    <col min="16" max="17" width="18" hidden="1" customWidth="1"/>
    <col min="18" max="18" width="17.69921875" hidden="1" customWidth="1"/>
    <col min="19" max="19" width="21.296875" customWidth="1"/>
    <col min="20" max="21" width="16.796875" hidden="1" customWidth="1"/>
    <col min="22" max="23" width="17.296875" hidden="1" customWidth="1"/>
    <col min="24" max="25" width="18.5" hidden="1" customWidth="1"/>
    <col min="26" max="33" width="18.5" customWidth="1"/>
    <col min="34" max="34" width="91.796875" customWidth="1"/>
    <col min="35" max="35" width="18.5" customWidth="1"/>
    <col min="36" max="36" width="19.19921875" customWidth="1"/>
    <col min="37" max="38" width="18.69921875" customWidth="1"/>
    <col min="39" max="39" width="18.796875" customWidth="1"/>
  </cols>
  <sheetData>
    <row r="1" spans="1:39" ht="20.149999999999999" customHeight="1">
      <c r="A1" s="197" t="s">
        <v>17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  <c r="M1" s="197"/>
      <c r="N1" s="197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</row>
    <row r="2" spans="1:39" ht="20.149999999999999" customHeight="1">
      <c r="A2" s="197"/>
      <c r="B2" s="197"/>
      <c r="C2" s="197"/>
      <c r="D2" s="197"/>
      <c r="E2" s="197"/>
      <c r="F2" s="197"/>
      <c r="G2" s="197"/>
      <c r="H2" s="197"/>
      <c r="I2" s="197"/>
      <c r="J2" s="197"/>
      <c r="K2" s="197"/>
      <c r="L2" s="197"/>
      <c r="M2" s="197"/>
      <c r="N2" s="197"/>
      <c r="O2" s="197"/>
      <c r="P2" s="197"/>
      <c r="Q2" s="197"/>
      <c r="R2" s="197"/>
      <c r="S2" s="197"/>
      <c r="T2" s="197"/>
      <c r="U2" s="197"/>
      <c r="V2" s="197"/>
      <c r="W2" s="197"/>
      <c r="X2" s="197"/>
      <c r="Y2" s="197"/>
      <c r="Z2" s="197"/>
      <c r="AA2" s="197"/>
    </row>
    <row r="3" spans="1:39" ht="65.25" customHeight="1">
      <c r="F3" s="190" t="s">
        <v>131</v>
      </c>
      <c r="G3" s="190"/>
      <c r="H3" s="4"/>
      <c r="I3" s="4"/>
      <c r="J3" s="190" t="s">
        <v>130</v>
      </c>
      <c r="K3" s="190"/>
      <c r="L3" s="4"/>
      <c r="M3" s="4"/>
      <c r="N3" s="4"/>
      <c r="O3" s="4"/>
      <c r="P3" s="2"/>
      <c r="Q3" s="2"/>
      <c r="R3" s="190" t="s">
        <v>127</v>
      </c>
      <c r="S3" s="190"/>
      <c r="T3" s="2"/>
      <c r="U3" s="2"/>
      <c r="V3" s="2"/>
      <c r="W3" s="2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7"/>
    </row>
    <row r="4" spans="1:39" ht="44.5" customHeight="1">
      <c r="A4" s="182" t="s">
        <v>5</v>
      </c>
      <c r="B4" s="183"/>
      <c r="C4" s="183"/>
      <c r="D4" s="183"/>
      <c r="E4" s="184"/>
      <c r="F4" s="176">
        <v>45748</v>
      </c>
      <c r="G4" s="177"/>
      <c r="H4" s="178">
        <v>45778</v>
      </c>
      <c r="I4" s="179"/>
      <c r="J4" s="176">
        <v>45809</v>
      </c>
      <c r="K4" s="177"/>
      <c r="L4" s="178">
        <v>45839</v>
      </c>
      <c r="M4" s="179"/>
      <c r="N4" s="176">
        <v>45870</v>
      </c>
      <c r="O4" s="177"/>
      <c r="P4" s="178">
        <v>45901</v>
      </c>
      <c r="Q4" s="179"/>
      <c r="R4" s="176">
        <v>45931</v>
      </c>
      <c r="S4" s="177"/>
      <c r="T4" s="178">
        <v>45962</v>
      </c>
      <c r="U4" s="179"/>
      <c r="V4" s="173">
        <v>45992</v>
      </c>
      <c r="W4" s="174"/>
      <c r="X4" s="173">
        <v>46023</v>
      </c>
      <c r="Y4" s="174"/>
      <c r="Z4" s="173">
        <v>46054</v>
      </c>
      <c r="AA4" s="174"/>
      <c r="AB4" s="173">
        <v>46082</v>
      </c>
      <c r="AC4" s="174"/>
      <c r="AD4" s="173">
        <v>46113</v>
      </c>
      <c r="AE4" s="174"/>
      <c r="AF4" s="173">
        <v>46143</v>
      </c>
      <c r="AG4" s="174"/>
      <c r="AH4" s="10"/>
    </row>
    <row r="5" spans="1:39" s="5" customFormat="1" ht="31.5" customHeight="1">
      <c r="A5" s="29" t="s">
        <v>12</v>
      </c>
      <c r="B5" s="30" t="s">
        <v>13</v>
      </c>
      <c r="C5" s="29" t="s">
        <v>14</v>
      </c>
      <c r="D5" s="31" t="s">
        <v>23</v>
      </c>
      <c r="E5" s="8" t="s">
        <v>15</v>
      </c>
      <c r="F5" s="9" t="s">
        <v>18</v>
      </c>
      <c r="G5" s="9" t="s">
        <v>19</v>
      </c>
      <c r="H5" s="9" t="s">
        <v>18</v>
      </c>
      <c r="I5" s="9" t="s">
        <v>19</v>
      </c>
      <c r="J5" s="9" t="s">
        <v>18</v>
      </c>
      <c r="K5" s="9" t="s">
        <v>19</v>
      </c>
      <c r="L5" s="9" t="s">
        <v>18</v>
      </c>
      <c r="M5" s="9" t="s">
        <v>19</v>
      </c>
      <c r="N5" s="9" t="s">
        <v>18</v>
      </c>
      <c r="O5" s="9" t="s">
        <v>19</v>
      </c>
      <c r="P5" s="9" t="s">
        <v>18</v>
      </c>
      <c r="Q5" s="9" t="s">
        <v>19</v>
      </c>
      <c r="R5" s="9" t="s">
        <v>18</v>
      </c>
      <c r="S5" s="9" t="s">
        <v>19</v>
      </c>
      <c r="T5" s="9" t="s">
        <v>18</v>
      </c>
      <c r="U5" s="9" t="s">
        <v>19</v>
      </c>
      <c r="V5" s="9" t="s">
        <v>18</v>
      </c>
      <c r="W5" s="9" t="s">
        <v>19</v>
      </c>
      <c r="X5" s="9" t="s">
        <v>18</v>
      </c>
      <c r="Y5" s="9" t="s">
        <v>19</v>
      </c>
      <c r="Z5" s="9" t="s">
        <v>18</v>
      </c>
      <c r="AA5" s="9" t="s">
        <v>19</v>
      </c>
      <c r="AB5" s="9" t="s">
        <v>18</v>
      </c>
      <c r="AC5" s="9" t="s">
        <v>19</v>
      </c>
      <c r="AD5" s="9" t="s">
        <v>18</v>
      </c>
      <c r="AE5" s="9" t="s">
        <v>19</v>
      </c>
      <c r="AF5" s="9" t="s">
        <v>18</v>
      </c>
      <c r="AG5" s="9" t="s">
        <v>19</v>
      </c>
      <c r="AH5" s="11" t="s">
        <v>16</v>
      </c>
    </row>
    <row r="6" spans="1:39" ht="26.25" customHeight="1">
      <c r="A6" s="14">
        <v>1</v>
      </c>
      <c r="B6" s="15" t="s">
        <v>26</v>
      </c>
      <c r="C6" s="16" t="s">
        <v>27</v>
      </c>
      <c r="D6" s="17">
        <v>3</v>
      </c>
      <c r="E6" s="18">
        <v>9609688683</v>
      </c>
      <c r="F6" s="28">
        <v>1200</v>
      </c>
      <c r="G6" s="32">
        <v>45792</v>
      </c>
      <c r="H6" s="28">
        <v>1200</v>
      </c>
      <c r="I6" s="32">
        <v>45823</v>
      </c>
      <c r="J6" s="28">
        <v>1300</v>
      </c>
      <c r="K6" s="32">
        <v>45853</v>
      </c>
      <c r="L6" s="28">
        <v>1300</v>
      </c>
      <c r="M6" s="33">
        <v>45884</v>
      </c>
      <c r="N6" s="51">
        <v>1300</v>
      </c>
      <c r="O6" s="33">
        <v>45915</v>
      </c>
      <c r="P6" s="51">
        <v>1300</v>
      </c>
      <c r="Q6" s="33">
        <v>45945</v>
      </c>
      <c r="R6" s="28">
        <v>1500</v>
      </c>
      <c r="S6" s="1"/>
      <c r="T6" s="28">
        <v>1500</v>
      </c>
      <c r="U6" s="1"/>
      <c r="V6" s="28">
        <v>1500</v>
      </c>
      <c r="W6" s="1"/>
      <c r="X6" s="28">
        <v>1500</v>
      </c>
      <c r="Y6" s="1"/>
      <c r="Z6" s="28">
        <v>1500</v>
      </c>
      <c r="AA6" s="1"/>
      <c r="AB6" s="28">
        <v>1500</v>
      </c>
      <c r="AC6" s="1"/>
      <c r="AD6" s="28">
        <v>1500</v>
      </c>
      <c r="AE6" s="1"/>
      <c r="AF6" s="28">
        <v>1500</v>
      </c>
      <c r="AG6" s="1"/>
      <c r="AH6" s="1"/>
    </row>
    <row r="7" spans="1:39" ht="26.25" customHeight="1">
      <c r="A7" s="14">
        <v>2</v>
      </c>
      <c r="B7" s="15" t="s">
        <v>28</v>
      </c>
      <c r="C7" s="16" t="s">
        <v>29</v>
      </c>
      <c r="D7" s="17">
        <v>3</v>
      </c>
      <c r="E7" s="18">
        <v>7557076444</v>
      </c>
      <c r="F7" s="28">
        <v>1200</v>
      </c>
      <c r="G7" s="32">
        <v>45792</v>
      </c>
      <c r="H7" s="28">
        <v>1200</v>
      </c>
      <c r="I7" s="32">
        <v>45823</v>
      </c>
      <c r="J7" s="28">
        <v>1300</v>
      </c>
      <c r="K7" s="32">
        <v>45853</v>
      </c>
      <c r="L7" s="28">
        <v>1300</v>
      </c>
      <c r="M7" s="33">
        <v>45884</v>
      </c>
      <c r="N7" s="51">
        <v>1300</v>
      </c>
      <c r="O7" s="33">
        <v>45915</v>
      </c>
      <c r="P7" s="51">
        <v>1300</v>
      </c>
      <c r="Q7" s="33">
        <v>45945</v>
      </c>
      <c r="R7" s="28">
        <v>1300</v>
      </c>
      <c r="S7" s="1"/>
      <c r="T7" s="28">
        <v>1300</v>
      </c>
      <c r="U7" s="1"/>
      <c r="V7" s="28">
        <v>1300</v>
      </c>
      <c r="W7" s="1"/>
      <c r="X7" s="28">
        <v>1300</v>
      </c>
      <c r="Y7" s="1"/>
      <c r="Z7" s="28">
        <v>1500</v>
      </c>
      <c r="AA7" s="1"/>
      <c r="AB7" s="28">
        <v>1500</v>
      </c>
      <c r="AC7" s="1"/>
      <c r="AD7" s="28">
        <v>1500</v>
      </c>
      <c r="AE7" s="1"/>
      <c r="AF7" s="28">
        <v>1500</v>
      </c>
      <c r="AG7" s="1"/>
      <c r="AH7" s="1"/>
    </row>
    <row r="8" spans="1:39" ht="26.25" customHeight="1">
      <c r="A8" s="14">
        <v>3</v>
      </c>
      <c r="B8" s="15" t="s">
        <v>30</v>
      </c>
      <c r="C8" s="16" t="s">
        <v>31</v>
      </c>
      <c r="D8" s="17">
        <v>2</v>
      </c>
      <c r="E8" s="18">
        <v>8001604274</v>
      </c>
      <c r="F8" s="28">
        <v>1200</v>
      </c>
      <c r="G8" s="32">
        <v>45792</v>
      </c>
      <c r="H8" s="28">
        <v>1200</v>
      </c>
      <c r="I8" s="32">
        <v>45823</v>
      </c>
      <c r="J8" s="28">
        <v>1000</v>
      </c>
      <c r="K8" s="32">
        <v>45853</v>
      </c>
      <c r="L8" s="28">
        <v>1000</v>
      </c>
      <c r="M8" s="33">
        <v>45884</v>
      </c>
      <c r="N8" s="28">
        <v>1000</v>
      </c>
      <c r="O8" s="33">
        <v>45915</v>
      </c>
      <c r="P8" s="28">
        <v>1000</v>
      </c>
      <c r="Q8" s="33">
        <v>45945</v>
      </c>
      <c r="R8" s="73">
        <v>1200</v>
      </c>
      <c r="S8" s="119"/>
      <c r="T8" s="73">
        <v>1200</v>
      </c>
      <c r="U8" s="119"/>
      <c r="V8" s="73">
        <v>1200</v>
      </c>
      <c r="W8" s="119"/>
      <c r="X8" s="73">
        <v>1200</v>
      </c>
      <c r="Y8" s="119"/>
      <c r="Z8" s="73">
        <v>1200</v>
      </c>
      <c r="AA8" s="1"/>
      <c r="AB8" s="73">
        <v>1200</v>
      </c>
      <c r="AC8" s="1"/>
      <c r="AD8" s="73">
        <v>1200</v>
      </c>
      <c r="AE8" s="1"/>
      <c r="AF8" s="73"/>
      <c r="AG8" s="1"/>
      <c r="AH8" s="1"/>
    </row>
    <row r="9" spans="1:39" ht="26.25" customHeight="1">
      <c r="A9" s="14">
        <v>4</v>
      </c>
      <c r="B9" s="59" t="s">
        <v>20</v>
      </c>
      <c r="C9" s="16" t="s">
        <v>32</v>
      </c>
      <c r="D9" s="17">
        <v>2</v>
      </c>
      <c r="E9" s="21"/>
      <c r="F9" s="28">
        <v>1200</v>
      </c>
      <c r="G9" s="32">
        <v>45792</v>
      </c>
      <c r="H9" s="28">
        <v>1200</v>
      </c>
      <c r="I9" s="32">
        <v>45823</v>
      </c>
      <c r="J9" s="28">
        <v>1000</v>
      </c>
      <c r="K9" s="32">
        <v>45853</v>
      </c>
      <c r="L9" s="28">
        <f>1000+17200</f>
        <v>18200</v>
      </c>
      <c r="M9" s="33">
        <v>45884</v>
      </c>
      <c r="N9" s="51">
        <v>1000</v>
      </c>
      <c r="O9" s="33">
        <v>45915</v>
      </c>
      <c r="P9" s="28">
        <v>1000</v>
      </c>
      <c r="Q9" s="33">
        <v>45945</v>
      </c>
      <c r="R9" s="28">
        <v>1200</v>
      </c>
      <c r="S9" s="1"/>
      <c r="T9" s="28">
        <v>1200</v>
      </c>
      <c r="U9" s="1"/>
      <c r="V9" s="28">
        <v>1200</v>
      </c>
      <c r="W9" s="1"/>
      <c r="X9" s="28"/>
      <c r="Y9" s="1"/>
      <c r="Z9" s="117"/>
      <c r="AA9" s="1"/>
      <c r="AB9" s="57"/>
      <c r="AC9" s="1"/>
      <c r="AD9" s="57"/>
      <c r="AE9" s="1"/>
      <c r="AF9" s="57"/>
      <c r="AG9" s="1"/>
      <c r="AH9" s="1"/>
    </row>
    <row r="10" spans="1:39" ht="26.25" customHeight="1">
      <c r="A10" s="14">
        <v>5</v>
      </c>
      <c r="B10" s="15" t="s">
        <v>33</v>
      </c>
      <c r="C10" s="16" t="s">
        <v>34</v>
      </c>
      <c r="D10" s="17">
        <v>3</v>
      </c>
      <c r="E10" s="18">
        <v>9434115212</v>
      </c>
      <c r="F10" s="28">
        <v>1200</v>
      </c>
      <c r="G10" s="32">
        <v>45792</v>
      </c>
      <c r="H10" s="28">
        <v>1200</v>
      </c>
      <c r="I10" s="32">
        <v>45823</v>
      </c>
      <c r="J10" s="28">
        <v>1300</v>
      </c>
      <c r="K10" s="32">
        <v>45853</v>
      </c>
      <c r="L10" s="28">
        <v>1300</v>
      </c>
      <c r="M10" s="33">
        <v>45884</v>
      </c>
      <c r="N10" s="51">
        <v>1300</v>
      </c>
      <c r="O10" s="33">
        <v>45915</v>
      </c>
      <c r="P10" s="28">
        <v>1300</v>
      </c>
      <c r="Q10" s="33">
        <v>45945</v>
      </c>
      <c r="R10" s="28">
        <v>1500</v>
      </c>
      <c r="S10" s="1"/>
      <c r="T10" s="28">
        <v>1500</v>
      </c>
      <c r="U10" s="1"/>
      <c r="V10" s="28">
        <v>1500</v>
      </c>
      <c r="W10" s="1"/>
      <c r="X10" s="28">
        <v>1500</v>
      </c>
      <c r="Y10" s="1"/>
      <c r="Z10" s="28">
        <v>1500</v>
      </c>
      <c r="AA10" s="1"/>
      <c r="AB10" s="28">
        <v>1500</v>
      </c>
      <c r="AC10" s="1"/>
      <c r="AD10" s="28">
        <v>1500</v>
      </c>
      <c r="AE10" s="1"/>
      <c r="AF10" s="28">
        <v>1500</v>
      </c>
      <c r="AG10" s="1"/>
      <c r="AH10" s="1"/>
    </row>
    <row r="11" spans="1:39" ht="26.25" customHeight="1">
      <c r="A11" s="14">
        <v>6</v>
      </c>
      <c r="B11" s="15" t="s">
        <v>35</v>
      </c>
      <c r="C11" s="16" t="s">
        <v>36</v>
      </c>
      <c r="D11" s="17" t="s">
        <v>24</v>
      </c>
      <c r="E11" s="18">
        <v>9474561244</v>
      </c>
      <c r="F11" s="28">
        <v>2400</v>
      </c>
      <c r="G11" s="32">
        <v>45792</v>
      </c>
      <c r="H11" s="28">
        <v>2400</v>
      </c>
      <c r="I11" s="32">
        <v>45823</v>
      </c>
      <c r="J11" s="28">
        <v>2300</v>
      </c>
      <c r="K11" s="32">
        <v>45853</v>
      </c>
      <c r="L11" s="28">
        <v>2300</v>
      </c>
      <c r="M11" s="33">
        <v>45884</v>
      </c>
      <c r="N11" s="51">
        <v>2300</v>
      </c>
      <c r="O11" s="33">
        <v>45915</v>
      </c>
      <c r="P11" s="28">
        <v>2300</v>
      </c>
      <c r="Q11" s="33">
        <v>45945</v>
      </c>
      <c r="R11" s="28">
        <f>1500+1200</f>
        <v>2700</v>
      </c>
      <c r="S11" s="1"/>
      <c r="T11" s="28">
        <f>1500+1200</f>
        <v>2700</v>
      </c>
      <c r="U11" s="1"/>
      <c r="V11" s="28">
        <f>1500+1200</f>
        <v>2700</v>
      </c>
      <c r="W11" s="1"/>
      <c r="X11" s="28">
        <f>1500+1200</f>
        <v>2700</v>
      </c>
      <c r="Y11" s="1"/>
      <c r="Z11" s="28">
        <f>1500+1200</f>
        <v>2700</v>
      </c>
      <c r="AA11" s="1"/>
      <c r="AB11" s="28">
        <f>1500+1200</f>
        <v>2700</v>
      </c>
      <c r="AC11" s="1"/>
      <c r="AD11" s="28">
        <f>1500+1200</f>
        <v>2700</v>
      </c>
      <c r="AE11" s="1"/>
      <c r="AF11" s="28">
        <f>1500+1200</f>
        <v>2700</v>
      </c>
      <c r="AG11" s="1"/>
      <c r="AH11" s="1"/>
    </row>
    <row r="12" spans="1:39" ht="26.25" customHeight="1">
      <c r="A12" s="14">
        <v>7</v>
      </c>
      <c r="B12" s="20" t="s">
        <v>1</v>
      </c>
      <c r="C12" s="16" t="s">
        <v>37</v>
      </c>
      <c r="D12" s="17">
        <v>2</v>
      </c>
      <c r="E12" s="21">
        <v>9475044158</v>
      </c>
      <c r="F12" s="28">
        <v>1200</v>
      </c>
      <c r="G12" s="32">
        <v>45792</v>
      </c>
      <c r="H12" s="28">
        <v>1200</v>
      </c>
      <c r="I12" s="32">
        <v>45823</v>
      </c>
      <c r="J12" s="28">
        <v>1000</v>
      </c>
      <c r="K12" s="32">
        <v>45853</v>
      </c>
      <c r="L12" s="28">
        <v>1000</v>
      </c>
      <c r="M12" s="33">
        <v>45884</v>
      </c>
      <c r="N12" s="51">
        <v>1000</v>
      </c>
      <c r="O12" s="33">
        <v>45915</v>
      </c>
      <c r="P12" s="28">
        <v>1000</v>
      </c>
      <c r="Q12" s="33">
        <v>45945</v>
      </c>
      <c r="R12" s="28">
        <v>1200</v>
      </c>
      <c r="S12" s="1"/>
      <c r="T12" s="28">
        <v>1200</v>
      </c>
      <c r="U12" s="1"/>
      <c r="V12" s="28">
        <v>1200</v>
      </c>
      <c r="W12" s="1"/>
      <c r="X12" s="28">
        <v>1200</v>
      </c>
      <c r="Y12" s="1"/>
      <c r="Z12" s="28">
        <v>1200</v>
      </c>
      <c r="AA12" s="1"/>
      <c r="AB12" s="28">
        <v>1200</v>
      </c>
      <c r="AC12" s="1"/>
      <c r="AD12" s="28">
        <v>1200</v>
      </c>
      <c r="AE12" s="1"/>
      <c r="AF12" s="28">
        <v>1200</v>
      </c>
      <c r="AG12" s="1"/>
      <c r="AH12" s="1"/>
    </row>
    <row r="13" spans="1:39" ht="26.25" customHeight="1">
      <c r="A13" s="185" t="s">
        <v>4</v>
      </c>
      <c r="B13" s="186"/>
      <c r="C13" s="186"/>
      <c r="D13" s="186"/>
      <c r="E13" s="187"/>
      <c r="F13" s="100"/>
      <c r="G13" s="100"/>
      <c r="H13" s="100"/>
      <c r="I13" s="100"/>
      <c r="J13" s="101"/>
      <c r="K13" s="100"/>
      <c r="L13" s="101"/>
      <c r="M13" s="100"/>
      <c r="N13" s="101"/>
      <c r="O13" s="100"/>
      <c r="P13" s="102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"/>
      <c r="AD13" s="103"/>
      <c r="AE13" s="1"/>
      <c r="AF13" s="103"/>
      <c r="AG13" s="1"/>
      <c r="AH13" s="1"/>
    </row>
    <row r="14" spans="1:39" ht="26.25" customHeight="1">
      <c r="A14" s="14">
        <v>8</v>
      </c>
      <c r="B14" s="15" t="s">
        <v>0</v>
      </c>
      <c r="C14" s="16" t="s">
        <v>38</v>
      </c>
      <c r="D14" s="17" t="s">
        <v>24</v>
      </c>
      <c r="E14" s="18">
        <v>9933111420</v>
      </c>
      <c r="F14" s="28">
        <v>2400</v>
      </c>
      <c r="G14" s="32">
        <v>45792</v>
      </c>
      <c r="H14" s="28">
        <v>2400</v>
      </c>
      <c r="I14" s="32">
        <v>45823</v>
      </c>
      <c r="J14" s="28">
        <v>2300</v>
      </c>
      <c r="K14" s="32">
        <v>45853</v>
      </c>
      <c r="L14" s="28">
        <v>2300</v>
      </c>
      <c r="M14" s="33">
        <v>45884</v>
      </c>
      <c r="N14" s="28">
        <v>2300</v>
      </c>
      <c r="O14" s="33">
        <v>45915</v>
      </c>
      <c r="P14" s="28">
        <v>2300</v>
      </c>
      <c r="Q14" s="33">
        <v>45945</v>
      </c>
      <c r="R14" s="28">
        <f>1500+1200</f>
        <v>2700</v>
      </c>
      <c r="S14" s="1"/>
      <c r="T14" s="28">
        <f>1500+1200</f>
        <v>2700</v>
      </c>
      <c r="U14" s="1"/>
      <c r="V14" s="28">
        <f>1500+1200</f>
        <v>2700</v>
      </c>
      <c r="W14" s="1"/>
      <c r="X14" s="73">
        <f>1500+1200</f>
        <v>2700</v>
      </c>
      <c r="Y14" s="1"/>
      <c r="Z14" s="73">
        <f>1500+1200</f>
        <v>2700</v>
      </c>
      <c r="AA14" s="1"/>
      <c r="AB14" s="73">
        <f>1500+1200</f>
        <v>2700</v>
      </c>
      <c r="AC14" s="1"/>
      <c r="AD14" s="73">
        <f>1500+1200</f>
        <v>2700</v>
      </c>
      <c r="AE14" s="1"/>
      <c r="AF14" s="73">
        <f>1500+1200</f>
        <v>2700</v>
      </c>
      <c r="AG14" s="1"/>
      <c r="AH14" s="1"/>
    </row>
    <row r="15" spans="1:39" ht="26.25" customHeight="1">
      <c r="A15" s="14">
        <v>9</v>
      </c>
      <c r="B15" s="15" t="s">
        <v>39</v>
      </c>
      <c r="C15" s="16" t="s">
        <v>40</v>
      </c>
      <c r="D15" s="17">
        <v>3</v>
      </c>
      <c r="E15" s="18">
        <v>9427221065</v>
      </c>
      <c r="F15" s="28">
        <v>1200</v>
      </c>
      <c r="G15" s="32">
        <v>45792</v>
      </c>
      <c r="H15" s="28">
        <v>1200</v>
      </c>
      <c r="I15" s="32">
        <v>45823</v>
      </c>
      <c r="J15" s="28">
        <v>1300</v>
      </c>
      <c r="K15" s="32">
        <v>45853</v>
      </c>
      <c r="L15" s="28">
        <v>1300</v>
      </c>
      <c r="M15" s="33">
        <v>45884</v>
      </c>
      <c r="N15" s="28">
        <v>1300</v>
      </c>
      <c r="O15" s="33">
        <v>45915</v>
      </c>
      <c r="P15" s="28">
        <v>1300</v>
      </c>
      <c r="Q15" s="33">
        <v>45945</v>
      </c>
      <c r="R15" s="28">
        <v>1500</v>
      </c>
      <c r="S15" s="33">
        <v>45915</v>
      </c>
      <c r="T15" s="28">
        <v>1500</v>
      </c>
      <c r="U15" s="1"/>
      <c r="V15" s="28">
        <v>1500</v>
      </c>
      <c r="W15" s="1"/>
      <c r="X15" s="73">
        <v>1500</v>
      </c>
      <c r="Y15" s="1"/>
      <c r="Z15" s="73">
        <v>1500</v>
      </c>
      <c r="AA15" s="1"/>
      <c r="AB15" s="73">
        <v>1500</v>
      </c>
      <c r="AC15" s="1"/>
      <c r="AD15" s="73">
        <v>1500</v>
      </c>
      <c r="AE15" s="1"/>
      <c r="AF15" s="73">
        <v>1500</v>
      </c>
      <c r="AG15" s="1"/>
      <c r="AH15" s="1"/>
    </row>
    <row r="16" spans="1:39" s="42" customFormat="1" ht="26.25" customHeight="1">
      <c r="A16" s="34">
        <v>10</v>
      </c>
      <c r="B16" s="35"/>
      <c r="C16" s="36" t="s">
        <v>41</v>
      </c>
      <c r="D16" s="37"/>
      <c r="E16" s="38"/>
      <c r="F16" s="39"/>
      <c r="G16" s="39"/>
      <c r="H16" s="39"/>
      <c r="I16" s="39"/>
      <c r="J16" s="50"/>
      <c r="K16" s="39"/>
      <c r="L16" s="50"/>
      <c r="M16" s="40"/>
      <c r="N16" s="50"/>
      <c r="O16" s="40"/>
      <c r="P16" s="50"/>
      <c r="Q16" s="41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41"/>
      <c r="AC16" s="41"/>
      <c r="AD16" s="41"/>
      <c r="AE16" s="41"/>
      <c r="AF16" s="41"/>
      <c r="AG16" s="41"/>
      <c r="AH16" s="41"/>
    </row>
    <row r="17" spans="1:34" ht="26.25" customHeight="1">
      <c r="A17" s="14">
        <v>11</v>
      </c>
      <c r="B17" s="15" t="s">
        <v>42</v>
      </c>
      <c r="C17" s="16" t="s">
        <v>43</v>
      </c>
      <c r="D17" s="17">
        <v>3</v>
      </c>
      <c r="E17" s="18">
        <v>8962744280</v>
      </c>
      <c r="F17" s="28">
        <v>1200</v>
      </c>
      <c r="G17" s="32">
        <v>45792</v>
      </c>
      <c r="H17" s="28">
        <v>1200</v>
      </c>
      <c r="I17" s="32">
        <v>45823</v>
      </c>
      <c r="J17" s="28">
        <v>1300</v>
      </c>
      <c r="K17" s="32">
        <v>45853</v>
      </c>
      <c r="L17" s="28">
        <v>1300</v>
      </c>
      <c r="M17" s="33">
        <v>45884</v>
      </c>
      <c r="N17" s="28">
        <v>1300</v>
      </c>
      <c r="O17" s="33">
        <v>45915</v>
      </c>
      <c r="P17" s="28">
        <v>1300</v>
      </c>
      <c r="Q17" s="33">
        <v>45945</v>
      </c>
      <c r="R17" s="28">
        <v>1500</v>
      </c>
      <c r="S17" s="1"/>
      <c r="T17" s="28">
        <v>1500</v>
      </c>
      <c r="U17" s="1"/>
      <c r="V17" s="28">
        <v>1500</v>
      </c>
      <c r="W17" s="1"/>
      <c r="X17" s="73">
        <v>1500</v>
      </c>
      <c r="Y17" s="1"/>
      <c r="Z17" s="73">
        <v>1500</v>
      </c>
      <c r="AA17" s="1"/>
      <c r="AB17" s="73">
        <v>1500</v>
      </c>
      <c r="AC17" s="1"/>
      <c r="AD17" s="73">
        <v>1500</v>
      </c>
      <c r="AE17" s="1"/>
      <c r="AF17" s="73">
        <v>1500</v>
      </c>
      <c r="AG17" s="1"/>
      <c r="AH17" s="1"/>
    </row>
    <row r="18" spans="1:34" ht="26.25" customHeight="1">
      <c r="A18" s="14">
        <v>12</v>
      </c>
      <c r="B18" s="15" t="s">
        <v>44</v>
      </c>
      <c r="C18" s="16" t="s">
        <v>45</v>
      </c>
      <c r="D18" s="17">
        <v>3</v>
      </c>
      <c r="E18" s="18">
        <v>9749543529</v>
      </c>
      <c r="F18" s="28">
        <v>1200</v>
      </c>
      <c r="G18" s="32">
        <v>45792</v>
      </c>
      <c r="H18" s="28">
        <v>1200</v>
      </c>
      <c r="I18" s="32">
        <v>45823</v>
      </c>
      <c r="J18" s="28">
        <v>1300</v>
      </c>
      <c r="K18" s="32">
        <v>45853</v>
      </c>
      <c r="L18" s="28">
        <v>1300</v>
      </c>
      <c r="M18" s="33">
        <v>45884</v>
      </c>
      <c r="N18" s="28">
        <v>1300</v>
      </c>
      <c r="O18" s="33">
        <v>45915</v>
      </c>
      <c r="P18" s="28">
        <v>1300</v>
      </c>
      <c r="Q18" s="33">
        <v>45945</v>
      </c>
      <c r="R18" s="28">
        <v>1500</v>
      </c>
      <c r="S18" s="1"/>
      <c r="T18" s="28">
        <v>1500</v>
      </c>
      <c r="U18" s="1"/>
      <c r="V18" s="28">
        <v>1500</v>
      </c>
      <c r="W18" s="1"/>
      <c r="X18" s="73">
        <v>1500</v>
      </c>
      <c r="Y18" s="1"/>
      <c r="Z18" s="73">
        <v>1500</v>
      </c>
      <c r="AA18" s="1"/>
      <c r="AB18" s="73">
        <v>1500</v>
      </c>
      <c r="AC18" s="1"/>
      <c r="AD18" s="73">
        <v>1500</v>
      </c>
      <c r="AE18" s="1"/>
      <c r="AF18" s="73">
        <v>1500</v>
      </c>
      <c r="AG18" s="1"/>
      <c r="AH18" s="1"/>
    </row>
    <row r="19" spans="1:34" ht="26.25" customHeight="1">
      <c r="A19" s="14">
        <v>13</v>
      </c>
      <c r="B19" s="15" t="s">
        <v>46</v>
      </c>
      <c r="C19" s="16" t="s">
        <v>47</v>
      </c>
      <c r="D19" s="17">
        <v>2</v>
      </c>
      <c r="E19" s="18">
        <v>7001420328</v>
      </c>
      <c r="F19" s="28">
        <v>1200</v>
      </c>
      <c r="G19" s="32">
        <v>45792</v>
      </c>
      <c r="H19" s="28">
        <v>1200</v>
      </c>
      <c r="I19" s="32">
        <v>45823</v>
      </c>
      <c r="J19" s="28">
        <v>1000</v>
      </c>
      <c r="K19" s="32">
        <v>45853</v>
      </c>
      <c r="L19" s="28">
        <v>1000</v>
      </c>
      <c r="M19" s="33">
        <v>45884</v>
      </c>
      <c r="N19" s="28">
        <v>1000</v>
      </c>
      <c r="O19" s="33">
        <v>45915</v>
      </c>
      <c r="P19" s="28">
        <v>1000</v>
      </c>
      <c r="Q19" s="33">
        <v>45945</v>
      </c>
      <c r="R19" s="28">
        <v>1200</v>
      </c>
      <c r="S19" s="75">
        <v>45938</v>
      </c>
      <c r="T19" s="28">
        <v>1200</v>
      </c>
      <c r="U19" s="1"/>
      <c r="V19" s="28">
        <v>1200</v>
      </c>
      <c r="W19" s="1"/>
      <c r="X19" s="73">
        <v>1200</v>
      </c>
      <c r="Y19" s="1"/>
      <c r="Z19" s="73">
        <v>1200</v>
      </c>
      <c r="AA19" s="1"/>
      <c r="AB19" s="73">
        <v>1200</v>
      </c>
      <c r="AC19" s="1"/>
      <c r="AD19" s="73">
        <v>1200</v>
      </c>
      <c r="AE19" s="1"/>
      <c r="AF19" s="73">
        <v>1200</v>
      </c>
      <c r="AG19" s="1"/>
      <c r="AH19" s="1"/>
    </row>
    <row r="20" spans="1:34" s="42" customFormat="1" ht="26.25" customHeight="1">
      <c r="A20" s="34">
        <v>14</v>
      </c>
      <c r="B20" s="35"/>
      <c r="C20" s="36" t="s">
        <v>48</v>
      </c>
      <c r="D20" s="37"/>
      <c r="E20" s="38"/>
      <c r="F20" s="39"/>
      <c r="G20" s="39"/>
      <c r="H20" s="39"/>
      <c r="I20" s="39"/>
      <c r="J20" s="50"/>
      <c r="K20" s="39"/>
      <c r="L20" s="50"/>
      <c r="M20" s="40"/>
      <c r="N20" s="52"/>
      <c r="O20" s="40"/>
      <c r="P20" s="55"/>
      <c r="Q20" s="41"/>
      <c r="R20" s="28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</row>
    <row r="21" spans="1:34" ht="26.25" customHeight="1">
      <c r="A21" s="182" t="s">
        <v>6</v>
      </c>
      <c r="B21" s="183"/>
      <c r="C21" s="183"/>
      <c r="D21" s="183"/>
      <c r="E21" s="184"/>
      <c r="F21" s="182"/>
      <c r="G21" s="183"/>
      <c r="H21" s="183"/>
      <c r="I21" s="183"/>
      <c r="J21" s="184"/>
      <c r="K21" s="182"/>
      <c r="L21" s="183"/>
      <c r="M21" s="183"/>
      <c r="N21" s="183"/>
      <c r="O21" s="184"/>
      <c r="P21" s="182"/>
      <c r="Q21" s="183"/>
      <c r="R21" s="183"/>
      <c r="S21" s="183"/>
      <c r="T21" s="184"/>
      <c r="U21" s="182"/>
      <c r="V21" s="183"/>
      <c r="W21" s="183"/>
      <c r="X21" s="183"/>
      <c r="Y21" s="184"/>
      <c r="Z21" s="1"/>
      <c r="AA21" s="1"/>
      <c r="AB21" s="1"/>
      <c r="AC21" s="1"/>
      <c r="AD21" s="1"/>
      <c r="AE21" s="1"/>
      <c r="AF21" s="1"/>
      <c r="AG21" s="1"/>
      <c r="AH21" s="1"/>
    </row>
    <row r="22" spans="1:34" ht="26.25" customHeight="1">
      <c r="A22" s="14">
        <v>15</v>
      </c>
      <c r="B22" s="15" t="s">
        <v>49</v>
      </c>
      <c r="C22" s="16" t="s">
        <v>50</v>
      </c>
      <c r="D22" s="17">
        <v>3</v>
      </c>
      <c r="E22" s="18">
        <v>8918008545</v>
      </c>
      <c r="F22" s="28">
        <v>1200</v>
      </c>
      <c r="G22" s="32">
        <v>45792</v>
      </c>
      <c r="H22" s="28">
        <v>1200</v>
      </c>
      <c r="I22" s="32">
        <v>45823</v>
      </c>
      <c r="J22" s="28">
        <v>1300</v>
      </c>
      <c r="K22" s="32">
        <v>45853</v>
      </c>
      <c r="L22" s="28">
        <v>1300</v>
      </c>
      <c r="M22" s="33">
        <v>45884</v>
      </c>
      <c r="N22" s="51">
        <v>1300</v>
      </c>
      <c r="O22" s="33">
        <v>45915</v>
      </c>
      <c r="P22" s="51">
        <v>1300</v>
      </c>
      <c r="Q22" s="33">
        <v>45945</v>
      </c>
      <c r="R22" s="28">
        <v>1500</v>
      </c>
      <c r="S22" s="1"/>
      <c r="T22" s="28">
        <v>1500</v>
      </c>
      <c r="U22" s="1"/>
      <c r="V22" s="28">
        <v>1500</v>
      </c>
      <c r="W22" s="1"/>
      <c r="X22" s="28">
        <v>1500</v>
      </c>
      <c r="Y22" s="1"/>
      <c r="Z22" s="28">
        <v>1500</v>
      </c>
      <c r="AA22" s="1"/>
      <c r="AB22" s="28">
        <v>1500</v>
      </c>
      <c r="AC22" s="1"/>
      <c r="AD22" s="28">
        <v>1500</v>
      </c>
      <c r="AE22" s="1"/>
      <c r="AF22" s="28">
        <v>1500</v>
      </c>
      <c r="AG22" s="1"/>
      <c r="AH22" s="1"/>
    </row>
    <row r="23" spans="1:34" ht="26.25" customHeight="1">
      <c r="A23" s="14">
        <v>16</v>
      </c>
      <c r="B23" s="15" t="s">
        <v>51</v>
      </c>
      <c r="C23" s="16" t="s">
        <v>52</v>
      </c>
      <c r="D23" s="17">
        <v>3</v>
      </c>
      <c r="E23" s="18">
        <v>8967856644</v>
      </c>
      <c r="F23" s="28">
        <v>1200</v>
      </c>
      <c r="G23" s="32">
        <v>45792</v>
      </c>
      <c r="H23" s="28">
        <v>1200</v>
      </c>
      <c r="I23" s="32">
        <v>45823</v>
      </c>
      <c r="J23" s="28">
        <v>1300</v>
      </c>
      <c r="K23" s="32">
        <v>45853</v>
      </c>
      <c r="L23" s="28">
        <v>1300</v>
      </c>
      <c r="M23" s="33">
        <v>45884</v>
      </c>
      <c r="N23" s="51">
        <v>1300</v>
      </c>
      <c r="O23" s="33">
        <v>45915</v>
      </c>
      <c r="P23" s="51">
        <v>1300</v>
      </c>
      <c r="Q23" s="33">
        <v>45945</v>
      </c>
      <c r="R23" s="28">
        <v>1500</v>
      </c>
      <c r="S23" s="1"/>
      <c r="T23" s="28">
        <v>1500</v>
      </c>
      <c r="U23" s="1"/>
      <c r="V23" s="28">
        <v>1500</v>
      </c>
      <c r="W23" s="1"/>
      <c r="X23" s="28">
        <v>1500</v>
      </c>
      <c r="Y23" s="1"/>
      <c r="Z23" s="28">
        <v>1500</v>
      </c>
      <c r="AA23" s="1"/>
      <c r="AB23" s="28">
        <v>1500</v>
      </c>
      <c r="AC23" s="1"/>
      <c r="AD23" s="28">
        <v>1500</v>
      </c>
      <c r="AE23" s="1"/>
      <c r="AF23" s="28">
        <v>1500</v>
      </c>
      <c r="AG23" s="1"/>
      <c r="AH23" s="1"/>
    </row>
    <row r="24" spans="1:34" ht="26.25" customHeight="1">
      <c r="A24" s="14">
        <v>17</v>
      </c>
      <c r="B24" s="15" t="s">
        <v>53</v>
      </c>
      <c r="C24" s="16" t="s">
        <v>54</v>
      </c>
      <c r="D24" s="17">
        <v>2</v>
      </c>
      <c r="E24" s="18">
        <v>8436193278</v>
      </c>
      <c r="F24" s="28">
        <v>1200</v>
      </c>
      <c r="G24" s="32">
        <v>45792</v>
      </c>
      <c r="H24" s="28">
        <v>1200</v>
      </c>
      <c r="I24" s="32">
        <v>45823</v>
      </c>
      <c r="J24" s="28">
        <v>1000</v>
      </c>
      <c r="K24" s="32">
        <v>45853</v>
      </c>
      <c r="L24" s="28">
        <v>1000</v>
      </c>
      <c r="M24" s="33">
        <v>45884</v>
      </c>
      <c r="N24" s="51">
        <v>1000</v>
      </c>
      <c r="O24" s="33">
        <v>45915</v>
      </c>
      <c r="P24" s="51">
        <v>1000</v>
      </c>
      <c r="Q24" s="33">
        <v>45945</v>
      </c>
      <c r="R24" s="28">
        <v>1200</v>
      </c>
      <c r="S24" s="1"/>
      <c r="T24" s="28">
        <v>1200</v>
      </c>
      <c r="U24" s="1"/>
      <c r="V24" s="28">
        <v>1200</v>
      </c>
      <c r="W24" s="1"/>
      <c r="X24" s="28">
        <v>1200</v>
      </c>
      <c r="Y24" s="1"/>
      <c r="Z24" s="28">
        <v>1200</v>
      </c>
      <c r="AA24" s="1"/>
      <c r="AB24" s="28">
        <v>1200</v>
      </c>
      <c r="AC24" s="1"/>
      <c r="AD24" s="28">
        <v>1200</v>
      </c>
      <c r="AE24" s="1"/>
      <c r="AF24" s="28">
        <v>1200</v>
      </c>
      <c r="AG24" s="1"/>
      <c r="AH24" s="1"/>
    </row>
    <row r="25" spans="1:34" s="42" customFormat="1" ht="26.25" customHeight="1">
      <c r="A25" s="34">
        <v>18</v>
      </c>
      <c r="B25" s="35"/>
      <c r="C25" s="36" t="s">
        <v>55</v>
      </c>
      <c r="D25" s="37"/>
      <c r="E25" s="38"/>
      <c r="F25" s="39"/>
      <c r="G25" s="39"/>
      <c r="H25" s="39"/>
      <c r="I25" s="39"/>
      <c r="J25" s="50"/>
      <c r="K25" s="39"/>
      <c r="L25" s="50"/>
      <c r="M25" s="40"/>
      <c r="N25" s="52"/>
      <c r="O25" s="40"/>
      <c r="P25" s="55"/>
      <c r="Q25" s="41"/>
      <c r="R25" s="28"/>
      <c r="S25" s="41"/>
      <c r="T25" s="28"/>
      <c r="U25" s="41"/>
      <c r="V25" s="28"/>
      <c r="W25" s="41"/>
      <c r="X25" s="28"/>
      <c r="Y25" s="41"/>
      <c r="Z25" s="28"/>
      <c r="AA25" s="41"/>
      <c r="AB25" s="41"/>
      <c r="AC25" s="41"/>
      <c r="AD25" s="41"/>
      <c r="AE25" s="41"/>
      <c r="AF25" s="41"/>
      <c r="AG25" s="41"/>
      <c r="AH25" s="41"/>
    </row>
    <row r="26" spans="1:34" s="42" customFormat="1" ht="26.25" customHeight="1">
      <c r="A26" s="34">
        <v>19</v>
      </c>
      <c r="B26" s="35"/>
      <c r="C26" s="36" t="s">
        <v>56</v>
      </c>
      <c r="D26" s="37"/>
      <c r="E26" s="38"/>
      <c r="F26" s="39"/>
      <c r="G26" s="39"/>
      <c r="H26" s="39"/>
      <c r="I26" s="39"/>
      <c r="J26" s="50"/>
      <c r="K26" s="39"/>
      <c r="L26" s="50"/>
      <c r="M26" s="40"/>
      <c r="N26" s="52"/>
      <c r="O26" s="40"/>
      <c r="P26" s="55"/>
      <c r="Q26" s="41"/>
      <c r="R26" s="28"/>
      <c r="S26" s="41"/>
      <c r="T26" s="28"/>
      <c r="U26" s="41"/>
      <c r="V26" s="28"/>
      <c r="W26" s="41"/>
      <c r="X26" s="28"/>
      <c r="Y26" s="41"/>
      <c r="Z26" s="28"/>
      <c r="AA26" s="41"/>
      <c r="AB26" s="41"/>
      <c r="AC26" s="41"/>
      <c r="AD26" s="41"/>
      <c r="AE26" s="41"/>
      <c r="AF26" s="41"/>
      <c r="AG26" s="41"/>
      <c r="AH26" s="41"/>
    </row>
    <row r="27" spans="1:34" ht="26.25" customHeight="1">
      <c r="A27" s="14">
        <v>20</v>
      </c>
      <c r="B27" s="15" t="s">
        <v>57</v>
      </c>
      <c r="C27" s="16" t="s">
        <v>58</v>
      </c>
      <c r="D27" s="17">
        <v>3</v>
      </c>
      <c r="E27" s="18">
        <v>9474039781</v>
      </c>
      <c r="F27" s="28">
        <v>1200</v>
      </c>
      <c r="G27" s="32">
        <v>45792</v>
      </c>
      <c r="H27" s="28">
        <v>1200</v>
      </c>
      <c r="I27" s="32">
        <v>45823</v>
      </c>
      <c r="J27" s="28">
        <v>1300</v>
      </c>
      <c r="K27" s="32">
        <v>45853</v>
      </c>
      <c r="L27" s="28">
        <v>1300</v>
      </c>
      <c r="M27" s="33">
        <v>45884</v>
      </c>
      <c r="N27" s="51">
        <v>1300</v>
      </c>
      <c r="O27" s="33">
        <v>45915</v>
      </c>
      <c r="P27" s="51">
        <v>1300</v>
      </c>
      <c r="Q27" s="33">
        <v>45945</v>
      </c>
      <c r="R27" s="28">
        <v>1500</v>
      </c>
      <c r="S27" s="1"/>
      <c r="T27" s="28">
        <v>1500</v>
      </c>
      <c r="U27" s="1"/>
      <c r="V27" s="28">
        <v>1500</v>
      </c>
      <c r="W27" s="1"/>
      <c r="X27" s="28">
        <v>1500</v>
      </c>
      <c r="Y27" s="1"/>
      <c r="Z27" s="28">
        <v>1500</v>
      </c>
      <c r="AA27" s="1"/>
      <c r="AB27" s="28">
        <v>1500</v>
      </c>
      <c r="AC27" s="1"/>
      <c r="AD27" s="28">
        <v>1500</v>
      </c>
      <c r="AE27" s="1"/>
      <c r="AF27" s="28">
        <v>1500</v>
      </c>
      <c r="AG27" s="1"/>
      <c r="AH27" s="1"/>
    </row>
    <row r="28" spans="1:34" ht="26.25" customHeight="1">
      <c r="A28" s="14">
        <v>21</v>
      </c>
      <c r="B28" s="15" t="s">
        <v>59</v>
      </c>
      <c r="C28" s="16" t="s">
        <v>60</v>
      </c>
      <c r="D28" s="17">
        <v>2</v>
      </c>
      <c r="E28" s="18">
        <v>8789747535</v>
      </c>
      <c r="F28" s="28">
        <v>1200</v>
      </c>
      <c r="G28" s="32">
        <v>45792</v>
      </c>
      <c r="H28" s="28">
        <v>1200</v>
      </c>
      <c r="I28" s="32">
        <v>45823</v>
      </c>
      <c r="J28" s="28">
        <v>1000</v>
      </c>
      <c r="K28" s="32">
        <v>45853</v>
      </c>
      <c r="L28" s="28">
        <v>1000</v>
      </c>
      <c r="M28" s="33">
        <v>45884</v>
      </c>
      <c r="N28" s="28">
        <v>1000</v>
      </c>
      <c r="O28" s="33">
        <v>45915</v>
      </c>
      <c r="P28" s="28">
        <v>1000</v>
      </c>
      <c r="Q28" s="33">
        <v>45945</v>
      </c>
      <c r="R28" s="28">
        <v>1200</v>
      </c>
      <c r="S28" s="1"/>
      <c r="T28" s="28">
        <v>1200</v>
      </c>
      <c r="U28" s="1"/>
      <c r="V28" s="28">
        <v>1200</v>
      </c>
      <c r="W28" s="1"/>
      <c r="X28" s="28">
        <v>1200</v>
      </c>
      <c r="Y28" s="1"/>
      <c r="Z28" s="28">
        <v>1200</v>
      </c>
      <c r="AA28" s="1"/>
      <c r="AB28" s="28">
        <v>1200</v>
      </c>
      <c r="AC28" s="1"/>
      <c r="AD28" s="28">
        <v>1200</v>
      </c>
      <c r="AE28" s="1"/>
      <c r="AF28" s="28">
        <v>1200</v>
      </c>
      <c r="AG28" s="1"/>
      <c r="AH28" s="1"/>
    </row>
    <row r="29" spans="1:34" ht="26.25" customHeight="1">
      <c r="A29" s="14">
        <v>22</v>
      </c>
      <c r="B29" s="15" t="s">
        <v>61</v>
      </c>
      <c r="C29" s="16" t="s">
        <v>62</v>
      </c>
      <c r="D29" s="17">
        <v>2</v>
      </c>
      <c r="E29" s="18">
        <v>9732006006</v>
      </c>
      <c r="F29" s="28">
        <v>1200</v>
      </c>
      <c r="G29" s="32">
        <v>45792</v>
      </c>
      <c r="H29" s="28">
        <v>1200</v>
      </c>
      <c r="I29" s="32">
        <v>45823</v>
      </c>
      <c r="J29" s="28">
        <v>1000</v>
      </c>
      <c r="K29" s="32">
        <v>45853</v>
      </c>
      <c r="L29" s="28">
        <v>1000</v>
      </c>
      <c r="M29" s="33">
        <v>45884</v>
      </c>
      <c r="N29" s="28">
        <v>1000</v>
      </c>
      <c r="O29" s="33">
        <v>45915</v>
      </c>
      <c r="P29" s="28">
        <v>1000</v>
      </c>
      <c r="Q29" s="33">
        <v>45945</v>
      </c>
      <c r="R29" s="28">
        <v>1200</v>
      </c>
      <c r="S29" s="1"/>
      <c r="T29" s="28">
        <v>1200</v>
      </c>
      <c r="U29" s="1"/>
      <c r="V29" s="28">
        <v>1200</v>
      </c>
      <c r="W29" s="1"/>
      <c r="X29" s="28">
        <v>1200</v>
      </c>
      <c r="Y29" s="1"/>
      <c r="Z29" s="28">
        <v>1200</v>
      </c>
      <c r="AA29" s="1"/>
      <c r="AB29" s="28">
        <v>1200</v>
      </c>
      <c r="AC29" s="1"/>
      <c r="AD29" s="28">
        <v>1200</v>
      </c>
      <c r="AE29" s="1"/>
      <c r="AF29" s="28">
        <v>1200</v>
      </c>
      <c r="AG29" s="1"/>
      <c r="AH29" s="1"/>
    </row>
    <row r="30" spans="1:34" ht="26.25" customHeight="1">
      <c r="A30" s="182" t="s">
        <v>7</v>
      </c>
      <c r="B30" s="183"/>
      <c r="C30" s="183"/>
      <c r="D30" s="183"/>
      <c r="E30" s="184"/>
      <c r="F30" s="182"/>
      <c r="G30" s="183"/>
      <c r="H30" s="183"/>
      <c r="I30" s="183"/>
      <c r="J30" s="184"/>
      <c r="K30" s="182"/>
      <c r="L30" s="183"/>
      <c r="M30" s="183"/>
      <c r="N30" s="183"/>
      <c r="O30" s="184"/>
      <c r="P30" s="182"/>
      <c r="Q30" s="183"/>
      <c r="R30" s="183"/>
      <c r="S30" s="183"/>
      <c r="T30" s="184"/>
      <c r="U30" s="182"/>
      <c r="V30" s="183"/>
      <c r="W30" s="183"/>
      <c r="X30" s="183"/>
      <c r="Y30" s="184"/>
      <c r="Z30" s="1"/>
      <c r="AA30" s="1"/>
      <c r="AB30" s="1"/>
      <c r="AC30" s="1"/>
      <c r="AD30" s="1"/>
      <c r="AE30" s="1"/>
      <c r="AF30" s="1"/>
      <c r="AG30" s="1"/>
      <c r="AH30" s="1"/>
    </row>
    <row r="31" spans="1:34" ht="26.25" customHeight="1">
      <c r="A31" s="14">
        <v>23</v>
      </c>
      <c r="B31" s="15" t="s">
        <v>63</v>
      </c>
      <c r="C31" s="16" t="s">
        <v>64</v>
      </c>
      <c r="D31" s="17">
        <v>3</v>
      </c>
      <c r="E31" s="18">
        <v>8927777001</v>
      </c>
      <c r="F31" s="28">
        <v>1200</v>
      </c>
      <c r="G31" s="32">
        <v>45792</v>
      </c>
      <c r="H31" s="28">
        <v>1200</v>
      </c>
      <c r="I31" s="32">
        <v>45823</v>
      </c>
      <c r="J31" s="28">
        <v>1300</v>
      </c>
      <c r="K31" s="32">
        <v>45853</v>
      </c>
      <c r="L31" s="28">
        <v>1300</v>
      </c>
      <c r="M31" s="33">
        <v>45884</v>
      </c>
      <c r="N31" s="51">
        <v>1300</v>
      </c>
      <c r="O31" s="33">
        <v>45915</v>
      </c>
      <c r="P31" s="51">
        <v>1300</v>
      </c>
      <c r="Q31" s="33">
        <v>45945</v>
      </c>
      <c r="R31" s="28">
        <v>1500</v>
      </c>
      <c r="S31" s="1"/>
      <c r="T31" s="28">
        <v>1500</v>
      </c>
      <c r="U31" s="1"/>
      <c r="V31" s="28">
        <v>1500</v>
      </c>
      <c r="W31" s="1"/>
      <c r="X31" s="28">
        <v>1500</v>
      </c>
      <c r="Y31" s="1"/>
      <c r="Z31" s="28">
        <v>1500</v>
      </c>
      <c r="AA31" s="1"/>
      <c r="AB31" s="28">
        <v>1500</v>
      </c>
      <c r="AC31" s="1"/>
      <c r="AD31" s="28">
        <v>1500</v>
      </c>
      <c r="AE31" s="1"/>
      <c r="AF31" s="28">
        <v>1500</v>
      </c>
      <c r="AG31" s="1"/>
      <c r="AH31" s="1"/>
    </row>
    <row r="32" spans="1:34" ht="26.25" customHeight="1">
      <c r="A32" s="14">
        <v>24</v>
      </c>
      <c r="B32" s="15" t="s">
        <v>65</v>
      </c>
      <c r="C32" s="16" t="s">
        <v>66</v>
      </c>
      <c r="D32" s="17">
        <v>3</v>
      </c>
      <c r="E32" s="21" t="s">
        <v>126</v>
      </c>
      <c r="F32" s="28">
        <v>1200</v>
      </c>
      <c r="G32" s="32">
        <v>45792</v>
      </c>
      <c r="H32" s="28">
        <v>1200</v>
      </c>
      <c r="I32" s="32">
        <v>45823</v>
      </c>
      <c r="J32" s="28">
        <v>1300</v>
      </c>
      <c r="K32" s="32">
        <v>45853</v>
      </c>
      <c r="L32" s="28">
        <v>1300</v>
      </c>
      <c r="M32" s="33">
        <v>45884</v>
      </c>
      <c r="N32" s="51">
        <v>1300</v>
      </c>
      <c r="O32" s="33">
        <v>45915</v>
      </c>
      <c r="P32" s="51">
        <v>1300</v>
      </c>
      <c r="Q32" s="33">
        <v>45945</v>
      </c>
      <c r="R32" s="28">
        <v>1500</v>
      </c>
      <c r="S32" s="1"/>
      <c r="T32" s="28">
        <v>1500</v>
      </c>
      <c r="U32" s="1"/>
      <c r="V32" s="28">
        <v>1500</v>
      </c>
      <c r="W32" s="1"/>
      <c r="X32" s="28">
        <v>1500</v>
      </c>
      <c r="Y32" s="1"/>
      <c r="Z32" s="28">
        <v>1500</v>
      </c>
      <c r="AA32" s="1"/>
      <c r="AB32" s="28">
        <v>1500</v>
      </c>
      <c r="AC32" s="1"/>
      <c r="AD32" s="28">
        <v>1500</v>
      </c>
      <c r="AE32" s="1"/>
      <c r="AF32" s="28">
        <v>1500</v>
      </c>
      <c r="AG32" s="1"/>
      <c r="AH32" s="1"/>
    </row>
    <row r="33" spans="1:34" ht="26.25" customHeight="1">
      <c r="A33" s="14">
        <v>25</v>
      </c>
      <c r="B33" s="15" t="s">
        <v>67</v>
      </c>
      <c r="C33" s="16" t="s">
        <v>68</v>
      </c>
      <c r="D33" s="17">
        <v>2</v>
      </c>
      <c r="E33" s="18">
        <v>9775033283</v>
      </c>
      <c r="F33" s="28">
        <v>1200</v>
      </c>
      <c r="G33" s="32">
        <v>45792</v>
      </c>
      <c r="H33" s="28">
        <v>1200</v>
      </c>
      <c r="I33" s="32">
        <v>45823</v>
      </c>
      <c r="J33" s="28">
        <v>1000</v>
      </c>
      <c r="K33" s="32">
        <v>45853</v>
      </c>
      <c r="L33" s="28">
        <v>1000</v>
      </c>
      <c r="M33" s="33">
        <v>45884</v>
      </c>
      <c r="N33" s="51">
        <v>1000</v>
      </c>
      <c r="O33" s="33">
        <v>45915</v>
      </c>
      <c r="P33" s="51">
        <v>1000</v>
      </c>
      <c r="Q33" s="33">
        <v>45945</v>
      </c>
      <c r="R33" s="28">
        <v>1200</v>
      </c>
      <c r="S33" s="1"/>
      <c r="T33" s="28">
        <v>1200</v>
      </c>
      <c r="U33" s="1"/>
      <c r="V33" s="28">
        <v>1200</v>
      </c>
      <c r="W33" s="1"/>
      <c r="X33" s="28">
        <v>1200</v>
      </c>
      <c r="Y33" s="1"/>
      <c r="Z33" s="28">
        <v>1200</v>
      </c>
      <c r="AA33" s="1"/>
      <c r="AB33" s="28">
        <v>1200</v>
      </c>
      <c r="AC33" s="1"/>
      <c r="AD33" s="28">
        <v>1200</v>
      </c>
      <c r="AE33" s="1"/>
      <c r="AF33" s="28">
        <v>1200</v>
      </c>
      <c r="AG33" s="1"/>
      <c r="AH33" s="1"/>
    </row>
    <row r="34" spans="1:34" s="42" customFormat="1" ht="26.25" customHeight="1">
      <c r="A34" s="34">
        <v>26</v>
      </c>
      <c r="B34" s="35"/>
      <c r="C34" s="36" t="s">
        <v>69</v>
      </c>
      <c r="D34" s="37"/>
      <c r="E34" s="38"/>
      <c r="F34" s="39"/>
      <c r="G34" s="39"/>
      <c r="H34" s="39"/>
      <c r="I34" s="39"/>
      <c r="J34" s="50"/>
      <c r="K34" s="39"/>
      <c r="L34" s="50"/>
      <c r="M34" s="40"/>
      <c r="N34" s="52"/>
      <c r="O34" s="40"/>
      <c r="P34" s="55"/>
      <c r="Q34" s="41"/>
      <c r="R34" s="28"/>
      <c r="S34" s="41"/>
      <c r="T34" s="41"/>
      <c r="U34" s="41"/>
      <c r="V34" s="28"/>
      <c r="W34" s="41"/>
      <c r="X34" s="28"/>
      <c r="Y34" s="41"/>
      <c r="Z34" s="28"/>
      <c r="AA34" s="41"/>
      <c r="AB34" s="41"/>
      <c r="AC34" s="41"/>
      <c r="AD34" s="41"/>
      <c r="AE34" s="41"/>
      <c r="AF34" s="41"/>
      <c r="AG34" s="41"/>
      <c r="AH34" s="41"/>
    </row>
    <row r="35" spans="1:34" ht="26.25" customHeight="1">
      <c r="A35" s="14">
        <v>27</v>
      </c>
      <c r="B35" s="15" t="s">
        <v>70</v>
      </c>
      <c r="C35" s="16" t="s">
        <v>71</v>
      </c>
      <c r="D35" s="17">
        <v>3</v>
      </c>
      <c r="E35" s="18">
        <v>9007993440</v>
      </c>
      <c r="F35" s="28">
        <v>1200</v>
      </c>
      <c r="G35" s="32">
        <v>45792</v>
      </c>
      <c r="H35" s="27">
        <v>1200</v>
      </c>
      <c r="I35" s="32">
        <v>45823</v>
      </c>
      <c r="J35" s="28">
        <v>1300</v>
      </c>
      <c r="K35" s="32">
        <v>45853</v>
      </c>
      <c r="L35" s="28">
        <v>1300</v>
      </c>
      <c r="M35" s="33">
        <v>45884</v>
      </c>
      <c r="N35" s="51">
        <v>1300</v>
      </c>
      <c r="O35" s="33">
        <v>45915</v>
      </c>
      <c r="P35" s="51">
        <v>1300</v>
      </c>
      <c r="Q35" s="33">
        <v>45945</v>
      </c>
      <c r="R35" s="28">
        <v>1500</v>
      </c>
      <c r="S35" s="1"/>
      <c r="T35" s="28">
        <v>1500</v>
      </c>
      <c r="U35" s="1"/>
      <c r="V35" s="28">
        <v>1500</v>
      </c>
      <c r="W35" s="1"/>
      <c r="X35" s="28">
        <v>1500</v>
      </c>
      <c r="Y35" s="1"/>
      <c r="Z35" s="28">
        <v>1500</v>
      </c>
      <c r="AA35" s="1"/>
      <c r="AB35" s="28">
        <v>1500</v>
      </c>
      <c r="AC35" s="1"/>
      <c r="AD35" s="28">
        <v>1500</v>
      </c>
      <c r="AE35" s="1"/>
      <c r="AF35" s="28">
        <v>1500</v>
      </c>
      <c r="AG35" s="1"/>
      <c r="AH35" s="1"/>
    </row>
    <row r="36" spans="1:34" ht="26.25" customHeight="1">
      <c r="A36" s="14">
        <v>28</v>
      </c>
      <c r="B36" s="15" t="s">
        <v>72</v>
      </c>
      <c r="C36" s="16" t="s">
        <v>73</v>
      </c>
      <c r="D36" s="17">
        <v>3</v>
      </c>
      <c r="E36" s="18">
        <v>9851121248</v>
      </c>
      <c r="F36" s="28">
        <v>1200</v>
      </c>
      <c r="G36" s="32">
        <v>45792</v>
      </c>
      <c r="H36" s="27">
        <v>1200</v>
      </c>
      <c r="I36" s="32">
        <v>45823</v>
      </c>
      <c r="J36" s="28">
        <v>1300</v>
      </c>
      <c r="K36" s="32">
        <v>45853</v>
      </c>
      <c r="L36" s="28">
        <v>1300</v>
      </c>
      <c r="M36" s="33">
        <v>45884</v>
      </c>
      <c r="N36" s="51">
        <v>1300</v>
      </c>
      <c r="O36" s="33">
        <v>45915</v>
      </c>
      <c r="P36" s="51">
        <v>1300</v>
      </c>
      <c r="Q36" s="33">
        <v>45945</v>
      </c>
      <c r="R36" s="28">
        <v>1500</v>
      </c>
      <c r="S36" s="1"/>
      <c r="T36" s="28">
        <v>1500</v>
      </c>
      <c r="U36" s="1"/>
      <c r="V36" s="28">
        <v>1500</v>
      </c>
      <c r="W36" s="1"/>
      <c r="X36" s="28">
        <v>1500</v>
      </c>
      <c r="Y36" s="1"/>
      <c r="Z36" s="28">
        <v>1500</v>
      </c>
      <c r="AA36" s="1"/>
      <c r="AB36" s="28">
        <v>1500</v>
      </c>
      <c r="AC36" s="1"/>
      <c r="AD36" s="28">
        <v>1500</v>
      </c>
      <c r="AE36" s="1"/>
      <c r="AF36" s="28">
        <v>1500</v>
      </c>
      <c r="AG36" s="1"/>
      <c r="AH36" s="1"/>
    </row>
    <row r="37" spans="1:34" ht="26.25" customHeight="1">
      <c r="A37" s="14">
        <v>29</v>
      </c>
      <c r="B37" s="15" t="s">
        <v>74</v>
      </c>
      <c r="C37" s="16" t="s">
        <v>75</v>
      </c>
      <c r="D37" s="17">
        <v>2</v>
      </c>
      <c r="E37" s="18">
        <v>7908578532</v>
      </c>
      <c r="F37" s="28">
        <v>1200</v>
      </c>
      <c r="G37" s="32">
        <v>45792</v>
      </c>
      <c r="H37" s="27">
        <v>1200</v>
      </c>
      <c r="I37" s="32">
        <v>45823</v>
      </c>
      <c r="J37" s="28">
        <v>1000</v>
      </c>
      <c r="K37" s="32">
        <v>45853</v>
      </c>
      <c r="L37" s="28">
        <v>1000</v>
      </c>
      <c r="M37" s="33">
        <v>45884</v>
      </c>
      <c r="N37" s="51">
        <v>1000</v>
      </c>
      <c r="O37" s="33">
        <v>45915</v>
      </c>
      <c r="P37" s="51">
        <v>1000</v>
      </c>
      <c r="Q37" s="33">
        <v>45945</v>
      </c>
      <c r="R37" s="28">
        <v>1200</v>
      </c>
      <c r="S37" s="1"/>
      <c r="T37" s="28">
        <v>1200</v>
      </c>
      <c r="U37" s="1"/>
      <c r="V37" s="28">
        <v>1200</v>
      </c>
      <c r="W37" s="1"/>
      <c r="X37" s="28">
        <v>1200</v>
      </c>
      <c r="Y37" s="1"/>
      <c r="Z37" s="28">
        <v>1200</v>
      </c>
      <c r="AA37" s="1"/>
      <c r="AB37" s="28">
        <v>1200</v>
      </c>
      <c r="AC37" s="1"/>
      <c r="AD37" s="28">
        <v>1200</v>
      </c>
      <c r="AE37" s="1"/>
      <c r="AF37" s="28">
        <v>1200</v>
      </c>
      <c r="AG37" s="1"/>
      <c r="AH37" s="1"/>
    </row>
    <row r="38" spans="1:34" ht="26.25" customHeight="1">
      <c r="A38" s="14">
        <v>30</v>
      </c>
      <c r="B38" s="15" t="s">
        <v>76</v>
      </c>
      <c r="C38" s="16" t="s">
        <v>77</v>
      </c>
      <c r="D38" s="17">
        <v>2</v>
      </c>
      <c r="E38" s="18">
        <v>8637853169</v>
      </c>
      <c r="F38" s="28">
        <v>1200</v>
      </c>
      <c r="G38" s="32">
        <v>45792</v>
      </c>
      <c r="H38" s="27">
        <v>1200</v>
      </c>
      <c r="I38" s="32">
        <v>45823</v>
      </c>
      <c r="J38" s="28">
        <v>1000</v>
      </c>
      <c r="K38" s="32">
        <v>45853</v>
      </c>
      <c r="L38" s="28">
        <v>1000</v>
      </c>
      <c r="M38" s="33">
        <v>45884</v>
      </c>
      <c r="N38" s="51">
        <v>1000</v>
      </c>
      <c r="O38" s="33">
        <v>45915</v>
      </c>
      <c r="P38" s="51">
        <v>1000</v>
      </c>
      <c r="Q38" s="33">
        <v>45945</v>
      </c>
      <c r="R38" s="28">
        <v>1200</v>
      </c>
      <c r="S38" s="1"/>
      <c r="T38" s="28">
        <v>1200</v>
      </c>
      <c r="U38" s="1"/>
      <c r="V38" s="28">
        <v>1200</v>
      </c>
      <c r="W38" s="1"/>
      <c r="X38" s="28">
        <v>1200</v>
      </c>
      <c r="Y38" s="1"/>
      <c r="Z38" s="28">
        <v>1200</v>
      </c>
      <c r="AA38" s="1"/>
      <c r="AB38" s="28">
        <v>1200</v>
      </c>
      <c r="AC38" s="1"/>
      <c r="AD38" s="28">
        <v>1200</v>
      </c>
      <c r="AE38" s="1"/>
      <c r="AF38" s="28">
        <v>1200</v>
      </c>
      <c r="AG38" s="1"/>
      <c r="AH38" s="1"/>
    </row>
    <row r="39" spans="1:34" ht="26.25" customHeight="1">
      <c r="A39" s="182" t="s">
        <v>8</v>
      </c>
      <c r="B39" s="183"/>
      <c r="C39" s="183"/>
      <c r="D39" s="183"/>
      <c r="E39" s="184"/>
      <c r="F39" s="182"/>
      <c r="G39" s="183"/>
      <c r="H39" s="183"/>
      <c r="I39" s="183"/>
      <c r="J39" s="184"/>
      <c r="K39" s="182"/>
      <c r="L39" s="183"/>
      <c r="M39" s="183"/>
      <c r="N39" s="183"/>
      <c r="O39" s="184"/>
      <c r="P39" s="182"/>
      <c r="Q39" s="183"/>
      <c r="R39" s="183"/>
      <c r="S39" s="183"/>
      <c r="T39" s="184"/>
      <c r="U39" s="182"/>
      <c r="V39" s="183"/>
      <c r="W39" s="183"/>
      <c r="X39" s="183"/>
      <c r="Y39" s="184"/>
      <c r="Z39" s="1"/>
      <c r="AA39" s="1"/>
      <c r="AB39" s="1"/>
      <c r="AC39" s="1"/>
      <c r="AD39" s="1"/>
      <c r="AE39" s="1"/>
      <c r="AF39" s="1"/>
      <c r="AG39" s="1"/>
      <c r="AH39" s="1"/>
    </row>
    <row r="40" spans="1:34" ht="26.25" customHeight="1">
      <c r="A40" s="14">
        <v>31</v>
      </c>
      <c r="B40" s="15" t="s">
        <v>78</v>
      </c>
      <c r="C40" s="16" t="s">
        <v>79</v>
      </c>
      <c r="D40" s="17">
        <v>3</v>
      </c>
      <c r="E40" s="18">
        <v>9434101485</v>
      </c>
      <c r="F40" s="28">
        <v>1200</v>
      </c>
      <c r="G40" s="32">
        <v>45792</v>
      </c>
      <c r="H40" s="27">
        <v>1200</v>
      </c>
      <c r="I40" s="32">
        <v>45823</v>
      </c>
      <c r="J40" s="28">
        <v>1300</v>
      </c>
      <c r="K40" s="32">
        <v>45853</v>
      </c>
      <c r="L40" s="28">
        <v>1300</v>
      </c>
      <c r="M40" s="33">
        <v>45884</v>
      </c>
      <c r="N40" s="51">
        <v>1300</v>
      </c>
      <c r="O40" s="33">
        <v>45915</v>
      </c>
      <c r="P40" s="51">
        <v>1300</v>
      </c>
      <c r="Q40" s="33">
        <v>45945</v>
      </c>
      <c r="R40" s="28">
        <v>1500</v>
      </c>
      <c r="S40" s="1"/>
      <c r="T40" s="28">
        <v>1500</v>
      </c>
      <c r="U40" s="1"/>
      <c r="V40" s="28">
        <v>1500</v>
      </c>
      <c r="W40" s="1"/>
      <c r="X40" s="28">
        <v>1500</v>
      </c>
      <c r="Y40" s="1"/>
      <c r="Z40" s="28">
        <v>1500</v>
      </c>
      <c r="AA40" s="1"/>
      <c r="AB40" s="28">
        <v>1500</v>
      </c>
      <c r="AC40" s="1"/>
      <c r="AD40" s="28">
        <v>1500</v>
      </c>
      <c r="AE40" s="1"/>
      <c r="AF40" s="28">
        <v>1500</v>
      </c>
      <c r="AG40" s="1"/>
      <c r="AH40" s="1"/>
    </row>
    <row r="41" spans="1:34" s="42" customFormat="1" ht="26.25" customHeight="1">
      <c r="A41" s="34">
        <v>32</v>
      </c>
      <c r="B41" s="71" t="s">
        <v>137</v>
      </c>
      <c r="C41" s="36" t="s">
        <v>80</v>
      </c>
      <c r="D41" s="37">
        <v>3</v>
      </c>
      <c r="E41" s="38">
        <v>8820411025</v>
      </c>
      <c r="F41" s="194" t="s">
        <v>138</v>
      </c>
      <c r="G41" s="195"/>
      <c r="H41" s="195"/>
      <c r="I41" s="195"/>
      <c r="J41" s="195"/>
      <c r="K41" s="195"/>
      <c r="L41" s="195"/>
      <c r="M41" s="196"/>
      <c r="N41" s="51">
        <v>1300</v>
      </c>
      <c r="O41" s="40"/>
      <c r="P41" s="51">
        <v>1300</v>
      </c>
      <c r="Q41" s="41"/>
      <c r="R41" s="28">
        <v>1500</v>
      </c>
      <c r="S41" s="1"/>
      <c r="T41" s="28">
        <v>1500</v>
      </c>
      <c r="U41" s="41"/>
      <c r="V41" s="28">
        <v>1500</v>
      </c>
      <c r="W41" s="41"/>
      <c r="X41" s="28">
        <v>1500</v>
      </c>
      <c r="Y41" s="41"/>
      <c r="Z41" s="28">
        <v>1500</v>
      </c>
      <c r="AA41" s="41"/>
      <c r="AB41" s="28">
        <v>1500</v>
      </c>
      <c r="AC41" s="41"/>
      <c r="AD41" s="28">
        <v>1500</v>
      </c>
      <c r="AE41" s="41"/>
      <c r="AF41" s="28">
        <v>1500</v>
      </c>
      <c r="AG41" s="41"/>
      <c r="AH41" s="41"/>
    </row>
    <row r="42" spans="1:34" ht="26.25" customHeight="1">
      <c r="A42" s="14">
        <v>33</v>
      </c>
      <c r="B42" s="15" t="s">
        <v>81</v>
      </c>
      <c r="C42" s="16" t="s">
        <v>82</v>
      </c>
      <c r="D42" s="17">
        <v>2</v>
      </c>
      <c r="E42" s="18">
        <v>9749449845</v>
      </c>
      <c r="F42" s="28">
        <v>1200</v>
      </c>
      <c r="G42" s="32">
        <v>45792</v>
      </c>
      <c r="H42" s="27">
        <v>1200</v>
      </c>
      <c r="I42" s="32">
        <v>45823</v>
      </c>
      <c r="J42" s="28">
        <v>1000</v>
      </c>
      <c r="K42" s="32">
        <v>45853</v>
      </c>
      <c r="L42" s="28">
        <v>1000</v>
      </c>
      <c r="M42" s="33">
        <v>45884</v>
      </c>
      <c r="N42" s="51">
        <v>1000</v>
      </c>
      <c r="O42" s="33">
        <v>45915</v>
      </c>
      <c r="P42" s="51">
        <v>1000</v>
      </c>
      <c r="Q42" s="33">
        <v>45945</v>
      </c>
      <c r="R42" s="28">
        <v>1200</v>
      </c>
      <c r="S42" s="1"/>
      <c r="T42" s="28">
        <v>1200</v>
      </c>
      <c r="U42" s="1"/>
      <c r="V42" s="28">
        <v>1200</v>
      </c>
      <c r="W42" s="1"/>
      <c r="X42" s="28">
        <v>1200</v>
      </c>
      <c r="Y42" s="1"/>
      <c r="Z42" s="28">
        <v>1200</v>
      </c>
      <c r="AA42" s="1"/>
      <c r="AB42" s="28">
        <v>1200</v>
      </c>
      <c r="AC42" s="1"/>
      <c r="AD42" s="28">
        <v>1200</v>
      </c>
      <c r="AE42" s="1"/>
      <c r="AF42" s="28">
        <v>1200</v>
      </c>
      <c r="AG42" s="1"/>
      <c r="AH42" s="1"/>
    </row>
    <row r="43" spans="1:34" ht="26.25" customHeight="1">
      <c r="A43" s="14">
        <v>34</v>
      </c>
      <c r="B43" s="15" t="s">
        <v>83</v>
      </c>
      <c r="C43" s="16" t="s">
        <v>84</v>
      </c>
      <c r="D43" s="17">
        <v>2</v>
      </c>
      <c r="E43" s="18">
        <v>9735135784</v>
      </c>
      <c r="F43" s="28">
        <v>1200</v>
      </c>
      <c r="G43" s="32">
        <v>45792</v>
      </c>
      <c r="H43" s="27">
        <v>1200</v>
      </c>
      <c r="I43" s="32">
        <v>45823</v>
      </c>
      <c r="J43" s="28">
        <v>1000</v>
      </c>
      <c r="K43" s="32">
        <v>45853</v>
      </c>
      <c r="L43" s="28">
        <v>1000</v>
      </c>
      <c r="M43" s="33">
        <v>45884</v>
      </c>
      <c r="N43" s="51">
        <v>1000</v>
      </c>
      <c r="O43" s="33">
        <v>45915</v>
      </c>
      <c r="P43" s="51">
        <v>1000</v>
      </c>
      <c r="Q43" s="33">
        <v>45945</v>
      </c>
      <c r="R43" s="28">
        <v>1200</v>
      </c>
      <c r="S43" s="1"/>
      <c r="T43" s="28">
        <v>1200</v>
      </c>
      <c r="U43" s="1"/>
      <c r="V43" s="28">
        <v>1200</v>
      </c>
      <c r="W43" s="1"/>
      <c r="X43" s="28">
        <v>1200</v>
      </c>
      <c r="Y43" s="1"/>
      <c r="Z43" s="28">
        <v>1200</v>
      </c>
      <c r="AA43" s="1"/>
      <c r="AB43" s="28">
        <v>1200</v>
      </c>
      <c r="AC43" s="1"/>
      <c r="AD43" s="28">
        <v>1200</v>
      </c>
      <c r="AE43" s="1"/>
      <c r="AF43" s="28">
        <v>1200</v>
      </c>
      <c r="AG43" s="1"/>
      <c r="AH43" s="1"/>
    </row>
    <row r="44" spans="1:34" ht="26.25" customHeight="1">
      <c r="A44" s="14">
        <v>35</v>
      </c>
      <c r="B44" s="15" t="s">
        <v>85</v>
      </c>
      <c r="C44" s="16" t="s">
        <v>86</v>
      </c>
      <c r="D44" s="17" t="s">
        <v>25</v>
      </c>
      <c r="E44" s="18">
        <v>9474567580</v>
      </c>
      <c r="F44" s="49">
        <v>2400</v>
      </c>
      <c r="G44" s="32">
        <v>45792</v>
      </c>
      <c r="H44" s="49">
        <v>2400</v>
      </c>
      <c r="I44" s="32">
        <v>45823</v>
      </c>
      <c r="J44" s="49">
        <v>2300</v>
      </c>
      <c r="K44" s="32">
        <v>45853</v>
      </c>
      <c r="L44" s="49">
        <v>2300</v>
      </c>
      <c r="M44" s="33">
        <v>45884</v>
      </c>
      <c r="N44" s="49">
        <v>2300</v>
      </c>
      <c r="O44" s="33">
        <v>45915</v>
      </c>
      <c r="P44" s="49">
        <v>2300</v>
      </c>
      <c r="Q44" s="33">
        <v>45945</v>
      </c>
      <c r="R44" s="53">
        <v>2700</v>
      </c>
      <c r="S44" s="58"/>
      <c r="T44" s="53">
        <v>2700</v>
      </c>
      <c r="U44" s="1"/>
      <c r="V44" s="53">
        <v>2700</v>
      </c>
      <c r="W44" s="1"/>
      <c r="X44" s="53">
        <v>2700</v>
      </c>
      <c r="Y44" s="1"/>
      <c r="Z44" s="28">
        <v>2700</v>
      </c>
      <c r="AA44" s="1"/>
      <c r="AB44" s="28">
        <v>2700</v>
      </c>
      <c r="AC44" s="1"/>
      <c r="AD44" s="28">
        <v>2700</v>
      </c>
      <c r="AE44" s="1"/>
      <c r="AF44" s="28">
        <v>2700</v>
      </c>
      <c r="AG44" s="1"/>
      <c r="AH44" s="1"/>
    </row>
    <row r="45" spans="1:34" ht="26.25" customHeight="1">
      <c r="A45" s="14">
        <v>36</v>
      </c>
      <c r="B45" s="15" t="s">
        <v>87</v>
      </c>
      <c r="C45" s="16" t="s">
        <v>88</v>
      </c>
      <c r="D45" s="17">
        <v>3</v>
      </c>
      <c r="E45" s="18">
        <v>9836087162</v>
      </c>
      <c r="F45" s="28">
        <v>1200</v>
      </c>
      <c r="G45" s="32">
        <v>45792</v>
      </c>
      <c r="H45" s="27">
        <v>1200</v>
      </c>
      <c r="I45" s="32">
        <v>45823</v>
      </c>
      <c r="J45" s="28">
        <v>1300</v>
      </c>
      <c r="K45" s="32">
        <v>45853</v>
      </c>
      <c r="L45" s="28">
        <v>1300</v>
      </c>
      <c r="M45" s="33">
        <v>45884</v>
      </c>
      <c r="N45" s="51">
        <v>1300</v>
      </c>
      <c r="O45" s="33">
        <v>45915</v>
      </c>
      <c r="P45" s="51">
        <v>1300</v>
      </c>
      <c r="Q45" s="33">
        <v>45945</v>
      </c>
      <c r="R45" s="28">
        <v>1500</v>
      </c>
      <c r="S45" s="1"/>
      <c r="T45" s="28">
        <v>1500</v>
      </c>
      <c r="U45" s="1"/>
      <c r="V45" s="28">
        <v>1500</v>
      </c>
      <c r="W45" s="1"/>
      <c r="X45" s="28">
        <v>1500</v>
      </c>
      <c r="Y45" s="1"/>
      <c r="Z45" s="28">
        <v>1500</v>
      </c>
      <c r="AA45" s="1"/>
      <c r="AB45" s="28">
        <v>1500</v>
      </c>
      <c r="AC45" s="1"/>
      <c r="AD45" s="28">
        <v>1500</v>
      </c>
      <c r="AE45" s="1"/>
      <c r="AF45" s="28">
        <v>1500</v>
      </c>
      <c r="AG45" s="1"/>
      <c r="AH45" s="1"/>
    </row>
    <row r="46" spans="1:34" ht="26.25" customHeight="1">
      <c r="A46" s="14">
        <v>37</v>
      </c>
      <c r="B46" s="15" t="s">
        <v>89</v>
      </c>
      <c r="C46" s="16" t="s">
        <v>90</v>
      </c>
      <c r="D46" s="17">
        <v>2</v>
      </c>
      <c r="E46" s="18">
        <v>8101850717</v>
      </c>
      <c r="F46" s="28">
        <v>1200</v>
      </c>
      <c r="G46" s="32">
        <v>45792</v>
      </c>
      <c r="H46" s="27">
        <v>1200</v>
      </c>
      <c r="I46" s="32">
        <v>45823</v>
      </c>
      <c r="J46" s="28">
        <v>1000</v>
      </c>
      <c r="K46" s="32">
        <v>45853</v>
      </c>
      <c r="L46" s="28">
        <v>1000</v>
      </c>
      <c r="M46" s="33">
        <v>45884</v>
      </c>
      <c r="N46" s="51">
        <v>1000</v>
      </c>
      <c r="O46" s="33">
        <v>45915</v>
      </c>
      <c r="P46" s="51">
        <v>1000</v>
      </c>
      <c r="Q46" s="33">
        <v>45945</v>
      </c>
      <c r="R46" s="28">
        <v>1200</v>
      </c>
      <c r="S46" s="1"/>
      <c r="T46" s="28">
        <v>1200</v>
      </c>
      <c r="U46" s="1"/>
      <c r="V46" s="28">
        <v>1200</v>
      </c>
      <c r="W46" s="1"/>
      <c r="X46" s="28">
        <v>1200</v>
      </c>
      <c r="Y46" s="1"/>
      <c r="Z46" s="28">
        <v>1200</v>
      </c>
      <c r="AA46" s="1"/>
      <c r="AB46" s="28">
        <v>1200</v>
      </c>
      <c r="AC46" s="1"/>
      <c r="AD46" s="28">
        <v>1200</v>
      </c>
      <c r="AE46" s="1"/>
      <c r="AF46" s="28">
        <v>1200</v>
      </c>
      <c r="AG46" s="1"/>
      <c r="AH46" s="1"/>
    </row>
    <row r="47" spans="1:34" ht="26.25" customHeight="1">
      <c r="A47" s="182" t="s">
        <v>9</v>
      </c>
      <c r="B47" s="183"/>
      <c r="C47" s="183"/>
      <c r="D47" s="183"/>
      <c r="E47" s="184"/>
      <c r="F47" s="182"/>
      <c r="G47" s="183"/>
      <c r="H47" s="183"/>
      <c r="I47" s="183"/>
      <c r="J47" s="184"/>
      <c r="K47" s="182"/>
      <c r="L47" s="183"/>
      <c r="M47" s="183">
        <v>45884</v>
      </c>
      <c r="N47" s="183"/>
      <c r="O47" s="184"/>
      <c r="P47" s="182"/>
      <c r="Q47" s="183"/>
      <c r="R47" s="183"/>
      <c r="S47" s="183"/>
      <c r="T47" s="184"/>
      <c r="U47" s="182"/>
      <c r="V47" s="183"/>
      <c r="W47" s="183"/>
      <c r="X47" s="183"/>
      <c r="Y47" s="184"/>
      <c r="Z47" s="1"/>
      <c r="AA47" s="1"/>
      <c r="AB47" s="1"/>
      <c r="AC47" s="1"/>
      <c r="AD47" s="1"/>
      <c r="AE47" s="1"/>
      <c r="AF47" s="1"/>
      <c r="AG47" s="1"/>
      <c r="AH47" s="1"/>
    </row>
    <row r="48" spans="1:34" ht="26.25" customHeight="1">
      <c r="A48" s="14">
        <v>38</v>
      </c>
      <c r="B48" s="15" t="s">
        <v>91</v>
      </c>
      <c r="C48" s="16" t="s">
        <v>92</v>
      </c>
      <c r="D48" s="17">
        <v>3</v>
      </c>
      <c r="E48" s="18">
        <v>8318151358</v>
      </c>
      <c r="F48" s="28">
        <v>1200</v>
      </c>
      <c r="G48" s="32">
        <v>45792</v>
      </c>
      <c r="H48" s="28">
        <v>1200</v>
      </c>
      <c r="I48" s="32">
        <v>45823</v>
      </c>
      <c r="J48" s="28">
        <v>1300</v>
      </c>
      <c r="K48" s="32">
        <v>45853</v>
      </c>
      <c r="L48" s="28">
        <v>1300</v>
      </c>
      <c r="M48" s="33">
        <v>45884</v>
      </c>
      <c r="N48" s="51">
        <v>1300</v>
      </c>
      <c r="O48" s="33">
        <v>45915</v>
      </c>
      <c r="P48" s="28">
        <v>1300</v>
      </c>
      <c r="Q48" s="33">
        <v>45945</v>
      </c>
      <c r="R48" s="28">
        <v>1500</v>
      </c>
      <c r="S48" s="118"/>
      <c r="T48" s="28">
        <v>1500</v>
      </c>
      <c r="U48" s="118"/>
      <c r="V48" s="28">
        <v>1500</v>
      </c>
      <c r="W48" s="118"/>
      <c r="X48" s="28">
        <v>1500</v>
      </c>
      <c r="Y48" s="118"/>
      <c r="Z48" s="28">
        <v>1500</v>
      </c>
      <c r="AA48" s="1"/>
      <c r="AB48" s="28">
        <v>1500</v>
      </c>
      <c r="AC48" s="1"/>
      <c r="AD48" s="28">
        <v>1500</v>
      </c>
      <c r="AE48" s="1"/>
      <c r="AF48" s="28">
        <v>1500</v>
      </c>
      <c r="AG48" s="1"/>
      <c r="AH48" s="1"/>
    </row>
    <row r="49" spans="1:34" ht="26.25" customHeight="1">
      <c r="A49" s="14">
        <v>39</v>
      </c>
      <c r="B49" s="15" t="s">
        <v>93</v>
      </c>
      <c r="C49" s="16" t="s">
        <v>94</v>
      </c>
      <c r="D49" s="17">
        <v>3</v>
      </c>
      <c r="E49" s="18">
        <v>6296936814</v>
      </c>
      <c r="F49" s="28">
        <v>1200</v>
      </c>
      <c r="G49" s="32">
        <v>45792</v>
      </c>
      <c r="H49" s="28">
        <v>1200</v>
      </c>
      <c r="I49" s="32">
        <v>45823</v>
      </c>
      <c r="J49" s="28">
        <v>1300</v>
      </c>
      <c r="K49" s="32">
        <v>45853</v>
      </c>
      <c r="L49" s="28">
        <v>1300</v>
      </c>
      <c r="M49" s="33">
        <v>45884</v>
      </c>
      <c r="N49" s="28">
        <v>1300</v>
      </c>
      <c r="O49" s="33">
        <v>45915</v>
      </c>
      <c r="P49" s="28">
        <v>1300</v>
      </c>
      <c r="Q49" s="33">
        <v>45945</v>
      </c>
      <c r="R49" s="28">
        <v>1500</v>
      </c>
      <c r="S49" s="1"/>
      <c r="T49" s="28">
        <v>1500</v>
      </c>
      <c r="U49" s="1"/>
      <c r="V49" s="28">
        <v>1500</v>
      </c>
      <c r="W49" s="1"/>
      <c r="X49" s="28">
        <v>1500</v>
      </c>
      <c r="Y49" s="1"/>
      <c r="Z49" s="28">
        <v>1500</v>
      </c>
      <c r="AA49" s="1"/>
      <c r="AB49" s="28">
        <v>1500</v>
      </c>
      <c r="AC49" s="1"/>
      <c r="AD49" s="28">
        <v>1500</v>
      </c>
      <c r="AE49" s="1"/>
      <c r="AF49" s="28">
        <v>1500</v>
      </c>
      <c r="AG49" s="1"/>
      <c r="AH49" s="1"/>
    </row>
    <row r="50" spans="1:34" ht="26.25" customHeight="1">
      <c r="A50" s="14">
        <v>40</v>
      </c>
      <c r="B50" s="15" t="s">
        <v>95</v>
      </c>
      <c r="C50" s="16" t="s">
        <v>96</v>
      </c>
      <c r="D50" s="17">
        <v>2</v>
      </c>
      <c r="E50" s="18">
        <v>9531571901</v>
      </c>
      <c r="F50" s="28">
        <v>1200</v>
      </c>
      <c r="G50" s="32">
        <v>45792</v>
      </c>
      <c r="H50" s="28">
        <v>1200</v>
      </c>
      <c r="I50" s="32">
        <v>45823</v>
      </c>
      <c r="J50" s="28">
        <v>1000</v>
      </c>
      <c r="K50" s="32">
        <v>45853</v>
      </c>
      <c r="L50" s="28">
        <v>1000</v>
      </c>
      <c r="M50" s="33">
        <v>45884</v>
      </c>
      <c r="N50" s="51">
        <v>1000</v>
      </c>
      <c r="O50" s="33">
        <v>45915</v>
      </c>
      <c r="P50" s="28">
        <v>1000</v>
      </c>
      <c r="Q50" s="33">
        <v>45945</v>
      </c>
      <c r="R50" s="28">
        <v>1200</v>
      </c>
      <c r="S50" s="1"/>
      <c r="T50" s="28">
        <v>1200</v>
      </c>
      <c r="U50" s="1"/>
      <c r="V50" s="28">
        <v>1200</v>
      </c>
      <c r="W50" s="1"/>
      <c r="X50" s="28">
        <v>1200</v>
      </c>
      <c r="Y50" s="1"/>
      <c r="Z50" s="28">
        <v>1200</v>
      </c>
      <c r="AA50" s="1"/>
      <c r="AB50" s="28">
        <v>1200</v>
      </c>
      <c r="AC50" s="1"/>
      <c r="AD50" s="28">
        <v>1200</v>
      </c>
      <c r="AE50" s="1"/>
      <c r="AF50" s="28">
        <v>1200</v>
      </c>
      <c r="AG50" s="1"/>
      <c r="AH50" s="1"/>
    </row>
    <row r="51" spans="1:34" s="42" customFormat="1" ht="26.25" customHeight="1">
      <c r="A51" s="34">
        <v>41</v>
      </c>
      <c r="B51" s="35"/>
      <c r="C51" s="36" t="s">
        <v>97</v>
      </c>
      <c r="D51" s="37"/>
      <c r="E51" s="38"/>
      <c r="F51" s="39"/>
      <c r="G51" s="39"/>
      <c r="H51" s="50"/>
      <c r="I51" s="39"/>
      <c r="J51" s="50"/>
      <c r="K51" s="39"/>
      <c r="L51" s="50"/>
      <c r="M51" s="40"/>
      <c r="N51" s="52"/>
      <c r="O51" s="40"/>
      <c r="P51" s="55"/>
      <c r="Q51" s="41"/>
      <c r="R51" s="28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</row>
    <row r="52" spans="1:34" ht="26.25" customHeight="1">
      <c r="A52" s="14">
        <v>42</v>
      </c>
      <c r="B52" s="15" t="s">
        <v>98</v>
      </c>
      <c r="C52" s="16" t="s">
        <v>99</v>
      </c>
      <c r="D52" s="17">
        <v>3</v>
      </c>
      <c r="E52" s="18">
        <v>7680914260</v>
      </c>
      <c r="F52" s="28">
        <v>1200</v>
      </c>
      <c r="G52" s="32">
        <v>45792</v>
      </c>
      <c r="H52" s="28">
        <v>1200</v>
      </c>
      <c r="I52" s="32">
        <v>45823</v>
      </c>
      <c r="J52" s="28">
        <v>1300</v>
      </c>
      <c r="K52" s="32">
        <v>45853</v>
      </c>
      <c r="L52" s="28">
        <v>1300</v>
      </c>
      <c r="M52" s="33">
        <v>45884</v>
      </c>
      <c r="N52" s="51">
        <v>1300</v>
      </c>
      <c r="O52" s="33">
        <v>45915</v>
      </c>
      <c r="P52" s="28">
        <v>1300</v>
      </c>
      <c r="Q52" s="33">
        <v>45945</v>
      </c>
      <c r="R52" s="28">
        <v>1500</v>
      </c>
      <c r="S52" s="1"/>
      <c r="T52" s="28">
        <v>1500</v>
      </c>
      <c r="U52" s="1"/>
      <c r="V52" s="28">
        <v>1500</v>
      </c>
      <c r="W52" s="1"/>
      <c r="X52" s="28">
        <v>1500</v>
      </c>
      <c r="Y52" s="1"/>
      <c r="Z52" s="28">
        <v>1500</v>
      </c>
      <c r="AA52" s="1"/>
      <c r="AB52" s="28">
        <v>1500</v>
      </c>
      <c r="AC52" s="1"/>
      <c r="AD52" s="28">
        <v>1500</v>
      </c>
      <c r="AE52" s="1"/>
      <c r="AF52" s="28">
        <v>1500</v>
      </c>
      <c r="AG52" s="1"/>
      <c r="AH52" s="1"/>
    </row>
    <row r="53" spans="1:34" s="42" customFormat="1" ht="33.75" customHeight="1">
      <c r="A53" s="34">
        <v>43</v>
      </c>
      <c r="B53" s="71" t="s">
        <v>134</v>
      </c>
      <c r="C53" s="36" t="s">
        <v>100</v>
      </c>
      <c r="D53" s="37">
        <v>3</v>
      </c>
      <c r="E53" s="38">
        <v>7044376634</v>
      </c>
      <c r="F53" s="194" t="s">
        <v>138</v>
      </c>
      <c r="G53" s="195"/>
      <c r="H53" s="195"/>
      <c r="I53" s="195"/>
      <c r="J53" s="195"/>
      <c r="K53" s="195"/>
      <c r="L53" s="195"/>
      <c r="M53" s="196"/>
      <c r="N53" s="52">
        <v>1300</v>
      </c>
      <c r="O53" s="33">
        <v>45996</v>
      </c>
      <c r="P53" s="28">
        <v>1300</v>
      </c>
      <c r="Q53" s="33">
        <v>45996</v>
      </c>
      <c r="R53" s="28">
        <v>1500</v>
      </c>
      <c r="S53" s="33">
        <v>45996</v>
      </c>
      <c r="T53" s="28">
        <v>1500</v>
      </c>
      <c r="U53" s="33">
        <v>45996</v>
      </c>
      <c r="V53" s="28">
        <v>1500</v>
      </c>
      <c r="W53" s="33">
        <v>45996</v>
      </c>
      <c r="X53" s="28">
        <v>1500</v>
      </c>
      <c r="Y53" s="33"/>
      <c r="Z53" s="28">
        <v>1500</v>
      </c>
      <c r="AA53" s="41"/>
      <c r="AB53" s="28">
        <v>1500</v>
      </c>
      <c r="AC53" s="41"/>
      <c r="AD53" s="28">
        <v>1500</v>
      </c>
      <c r="AE53" s="41"/>
      <c r="AF53" s="28">
        <v>1500</v>
      </c>
      <c r="AG53" s="41"/>
      <c r="AH53" s="41"/>
    </row>
    <row r="54" spans="1:34" s="42" customFormat="1" ht="33" customHeight="1">
      <c r="A54" s="34">
        <v>44</v>
      </c>
      <c r="B54" s="71" t="s">
        <v>135</v>
      </c>
      <c r="C54" s="36" t="s">
        <v>101</v>
      </c>
      <c r="D54" s="37">
        <v>2</v>
      </c>
      <c r="E54" s="38">
        <v>7908550094</v>
      </c>
      <c r="F54" s="194" t="s">
        <v>138</v>
      </c>
      <c r="G54" s="195"/>
      <c r="H54" s="195"/>
      <c r="I54" s="195"/>
      <c r="J54" s="195"/>
      <c r="K54" s="195"/>
      <c r="L54" s="195"/>
      <c r="M54" s="196"/>
      <c r="N54" s="51">
        <v>1000</v>
      </c>
      <c r="O54" s="33" t="s">
        <v>190</v>
      </c>
      <c r="P54" s="51">
        <v>1000</v>
      </c>
      <c r="Q54" s="33" t="s">
        <v>190</v>
      </c>
      <c r="R54" s="73">
        <v>1200</v>
      </c>
      <c r="S54" s="120" t="s">
        <v>190</v>
      </c>
      <c r="T54" s="73">
        <v>1200</v>
      </c>
      <c r="U54" s="120" t="s">
        <v>190</v>
      </c>
      <c r="V54" s="73">
        <v>1200</v>
      </c>
      <c r="W54" s="120" t="s">
        <v>190</v>
      </c>
      <c r="X54" s="73">
        <v>1200</v>
      </c>
      <c r="Y54" s="120" t="s">
        <v>190</v>
      </c>
      <c r="Z54" s="73">
        <v>1200</v>
      </c>
      <c r="AA54" s="41"/>
      <c r="AB54" s="73">
        <v>1200</v>
      </c>
      <c r="AC54" s="41"/>
      <c r="AD54" s="73">
        <v>1200</v>
      </c>
      <c r="AE54" s="41"/>
      <c r="AF54" s="73">
        <v>1200</v>
      </c>
      <c r="AG54" s="41"/>
      <c r="AH54" s="41"/>
    </row>
    <row r="55" spans="1:34" s="42" customFormat="1" ht="26.25" customHeight="1">
      <c r="A55" s="34">
        <v>45</v>
      </c>
      <c r="B55" s="35"/>
      <c r="C55" s="36" t="s">
        <v>102</v>
      </c>
      <c r="D55" s="37">
        <v>2</v>
      </c>
      <c r="E55" s="38"/>
      <c r="F55" s="39"/>
      <c r="G55" s="39"/>
      <c r="H55" s="39"/>
      <c r="I55" s="39"/>
      <c r="J55" s="50"/>
      <c r="K55" s="39"/>
      <c r="L55" s="50"/>
      <c r="M55" s="40"/>
      <c r="N55" s="52"/>
      <c r="O55" s="40"/>
      <c r="P55" s="55"/>
      <c r="Q55" s="41"/>
      <c r="R55" s="28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</row>
    <row r="56" spans="1:34" ht="26.25" customHeight="1">
      <c r="A56" s="182" t="s">
        <v>10</v>
      </c>
      <c r="B56" s="183"/>
      <c r="C56" s="183"/>
      <c r="D56" s="183"/>
      <c r="E56" s="184"/>
      <c r="F56" s="182"/>
      <c r="G56" s="183"/>
      <c r="H56" s="183"/>
      <c r="I56" s="183"/>
      <c r="J56" s="184"/>
      <c r="K56" s="182"/>
      <c r="L56" s="183"/>
      <c r="M56" s="183"/>
      <c r="N56" s="183"/>
      <c r="O56" s="184"/>
      <c r="P56" s="182"/>
      <c r="Q56" s="183"/>
      <c r="R56" s="183"/>
      <c r="S56" s="183"/>
      <c r="T56" s="184"/>
      <c r="U56" s="182"/>
      <c r="V56" s="183"/>
      <c r="W56" s="183"/>
      <c r="X56" s="183"/>
      <c r="Y56" s="184"/>
      <c r="Z56" s="1"/>
      <c r="AA56" s="1"/>
      <c r="AB56" s="1"/>
      <c r="AC56" s="1"/>
      <c r="AD56" s="1"/>
      <c r="AE56" s="1"/>
      <c r="AF56" s="1"/>
      <c r="AG56" s="1"/>
      <c r="AH56" s="1"/>
    </row>
    <row r="57" spans="1:34" ht="26.25" customHeight="1">
      <c r="A57" s="14">
        <v>46</v>
      </c>
      <c r="B57" s="15" t="s">
        <v>103</v>
      </c>
      <c r="C57" s="16" t="s">
        <v>104</v>
      </c>
      <c r="D57" s="17">
        <v>3</v>
      </c>
      <c r="E57" s="18">
        <v>7908182143</v>
      </c>
      <c r="F57" s="28">
        <v>1200</v>
      </c>
      <c r="G57" s="32">
        <v>45792</v>
      </c>
      <c r="H57" s="28">
        <v>1200</v>
      </c>
      <c r="I57" s="32">
        <v>45823</v>
      </c>
      <c r="J57" s="73">
        <v>1300</v>
      </c>
      <c r="K57" s="32">
        <v>45938</v>
      </c>
      <c r="L57" s="73">
        <v>1300</v>
      </c>
      <c r="M57" s="32">
        <v>45938</v>
      </c>
      <c r="N57" s="74">
        <v>1300</v>
      </c>
      <c r="O57" s="32">
        <v>45938</v>
      </c>
      <c r="P57" s="74">
        <v>1300</v>
      </c>
      <c r="Q57" s="32">
        <v>45938</v>
      </c>
      <c r="R57" s="73">
        <v>1500</v>
      </c>
      <c r="S57" s="32">
        <v>45938</v>
      </c>
      <c r="T57" s="73">
        <v>1500</v>
      </c>
      <c r="U57" s="119"/>
      <c r="V57" s="73">
        <v>1500</v>
      </c>
      <c r="W57" s="1"/>
      <c r="X57" s="73">
        <v>1500</v>
      </c>
      <c r="Y57" s="1"/>
      <c r="Z57" s="73">
        <v>1500</v>
      </c>
      <c r="AA57" s="1"/>
      <c r="AB57" s="73">
        <v>1500</v>
      </c>
      <c r="AC57" s="1"/>
      <c r="AD57" s="73">
        <v>1500</v>
      </c>
      <c r="AE57" s="1"/>
      <c r="AF57" s="73">
        <v>1500</v>
      </c>
      <c r="AG57" s="1"/>
      <c r="AH57" s="1"/>
    </row>
    <row r="58" spans="1:34" ht="26.25" customHeight="1">
      <c r="A58" s="14">
        <v>47</v>
      </c>
      <c r="B58" s="15" t="s">
        <v>105</v>
      </c>
      <c r="C58" s="16" t="s">
        <v>106</v>
      </c>
      <c r="D58" s="17">
        <v>3</v>
      </c>
      <c r="E58" s="18">
        <v>9933918646</v>
      </c>
      <c r="F58" s="28">
        <v>1200</v>
      </c>
      <c r="G58" s="32">
        <v>45792</v>
      </c>
      <c r="H58" s="28">
        <v>1200</v>
      </c>
      <c r="I58" s="32">
        <v>45823</v>
      </c>
      <c r="J58" s="28">
        <v>1300</v>
      </c>
      <c r="K58" s="32">
        <v>45853</v>
      </c>
      <c r="L58" s="28">
        <v>1300</v>
      </c>
      <c r="M58" s="33">
        <v>45884</v>
      </c>
      <c r="N58" s="51">
        <v>1300</v>
      </c>
      <c r="O58" s="33">
        <v>45915</v>
      </c>
      <c r="P58" s="51">
        <v>1300</v>
      </c>
      <c r="Q58" s="33">
        <v>45945</v>
      </c>
      <c r="R58" s="28">
        <v>1500</v>
      </c>
      <c r="S58" s="1"/>
      <c r="T58" s="28">
        <v>1500</v>
      </c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</row>
    <row r="59" spans="1:34" s="42" customFormat="1" ht="26.25" customHeight="1">
      <c r="A59" s="34">
        <v>48</v>
      </c>
      <c r="B59" s="71" t="s">
        <v>136</v>
      </c>
      <c r="C59" s="36" t="s">
        <v>107</v>
      </c>
      <c r="D59" s="37"/>
      <c r="E59" s="38">
        <v>9831313288</v>
      </c>
      <c r="F59" s="191" t="s">
        <v>139</v>
      </c>
      <c r="G59" s="192"/>
      <c r="H59" s="192"/>
      <c r="I59" s="192"/>
      <c r="J59" s="192"/>
      <c r="K59" s="192"/>
      <c r="L59" s="192"/>
      <c r="M59" s="192"/>
      <c r="N59" s="192"/>
      <c r="O59" s="193"/>
      <c r="P59" s="52"/>
      <c r="Q59" s="41"/>
      <c r="R59" s="28">
        <v>1200</v>
      </c>
      <c r="S59" s="41"/>
      <c r="T59" s="28">
        <v>1200</v>
      </c>
      <c r="U59" s="41"/>
      <c r="V59" s="28">
        <v>1200</v>
      </c>
      <c r="W59" s="41"/>
      <c r="X59" s="28">
        <v>1200</v>
      </c>
      <c r="Y59" s="41"/>
      <c r="Z59" s="28">
        <v>1200</v>
      </c>
      <c r="AA59" s="41"/>
      <c r="AB59" s="28">
        <v>1200</v>
      </c>
      <c r="AC59" s="41"/>
      <c r="AD59" s="28">
        <v>1200</v>
      </c>
      <c r="AE59" s="41"/>
      <c r="AF59" s="28">
        <v>1200</v>
      </c>
      <c r="AG59" s="41"/>
      <c r="AH59" s="41"/>
    </row>
    <row r="60" spans="1:34" s="42" customFormat="1" ht="26.25" customHeight="1">
      <c r="A60" s="34">
        <v>49</v>
      </c>
      <c r="B60" s="35"/>
      <c r="C60" s="36" t="s">
        <v>108</v>
      </c>
      <c r="D60" s="37"/>
      <c r="E60" s="38"/>
      <c r="F60" s="39"/>
      <c r="G60" s="39"/>
      <c r="H60" s="50"/>
      <c r="I60" s="39"/>
      <c r="J60" s="50"/>
      <c r="K60" s="39"/>
      <c r="L60" s="50"/>
      <c r="M60" s="40"/>
      <c r="N60" s="52"/>
      <c r="O60" s="40"/>
      <c r="P60" s="52"/>
      <c r="Q60" s="41"/>
      <c r="R60" s="28"/>
      <c r="S60" s="41"/>
      <c r="T60" s="28"/>
      <c r="U60" s="41"/>
      <c r="V60" s="28"/>
      <c r="W60" s="41"/>
      <c r="X60" s="28"/>
      <c r="Y60" s="41"/>
      <c r="Z60" s="41"/>
      <c r="AA60" s="41"/>
      <c r="AB60" s="41"/>
      <c r="AC60" s="41"/>
      <c r="AD60" s="41"/>
      <c r="AE60" s="41"/>
      <c r="AF60" s="41"/>
      <c r="AG60" s="41"/>
      <c r="AH60" s="41"/>
    </row>
    <row r="61" spans="1:34" ht="26.25" customHeight="1">
      <c r="A61" s="14">
        <v>50</v>
      </c>
      <c r="B61" s="15" t="s">
        <v>109</v>
      </c>
      <c r="C61" s="16" t="s">
        <v>110</v>
      </c>
      <c r="D61" s="17">
        <v>3</v>
      </c>
      <c r="E61" s="18">
        <v>9681710268</v>
      </c>
      <c r="F61" s="28">
        <v>1200</v>
      </c>
      <c r="G61" s="32">
        <v>45792</v>
      </c>
      <c r="H61" s="28">
        <v>1200</v>
      </c>
      <c r="I61" s="32">
        <v>45823</v>
      </c>
      <c r="J61" s="28">
        <v>1300</v>
      </c>
      <c r="K61" s="32">
        <v>45853</v>
      </c>
      <c r="L61" s="28">
        <v>1300</v>
      </c>
      <c r="M61" s="33">
        <v>45884</v>
      </c>
      <c r="N61" s="51">
        <v>1300</v>
      </c>
      <c r="O61" s="33">
        <v>45915</v>
      </c>
      <c r="P61" s="51">
        <v>1300</v>
      </c>
      <c r="Q61" s="33">
        <v>45945</v>
      </c>
      <c r="R61" s="28">
        <v>1500</v>
      </c>
      <c r="S61" s="1"/>
      <c r="T61" s="28">
        <v>1500</v>
      </c>
      <c r="U61" s="1"/>
      <c r="V61" s="28">
        <v>1500</v>
      </c>
      <c r="W61" s="1"/>
      <c r="X61" s="28">
        <v>1500</v>
      </c>
      <c r="Y61" s="1"/>
      <c r="Z61" s="28">
        <v>1500</v>
      </c>
      <c r="AA61" s="1"/>
      <c r="AB61" s="28">
        <v>1500</v>
      </c>
      <c r="AC61" s="1"/>
      <c r="AD61" s="28">
        <v>1500</v>
      </c>
      <c r="AE61" s="1"/>
      <c r="AF61" s="28">
        <v>1500</v>
      </c>
      <c r="AG61" s="1"/>
      <c r="AH61" s="1"/>
    </row>
    <row r="62" spans="1:34" ht="26.25" customHeight="1">
      <c r="A62" s="14">
        <v>51</v>
      </c>
      <c r="B62" s="15" t="s">
        <v>111</v>
      </c>
      <c r="C62" s="16" t="s">
        <v>112</v>
      </c>
      <c r="D62" s="17">
        <v>3</v>
      </c>
      <c r="E62" s="18">
        <v>9434216284</v>
      </c>
      <c r="F62" s="28">
        <v>1200</v>
      </c>
      <c r="G62" s="32">
        <v>45792</v>
      </c>
      <c r="H62" s="28">
        <v>1200</v>
      </c>
      <c r="I62" s="32">
        <v>45823</v>
      </c>
      <c r="J62" s="28">
        <v>1300</v>
      </c>
      <c r="K62" s="32">
        <v>45853</v>
      </c>
      <c r="L62" s="28">
        <v>1300</v>
      </c>
      <c r="M62" s="33">
        <v>45884</v>
      </c>
      <c r="N62" s="51">
        <v>1300</v>
      </c>
      <c r="O62" s="33">
        <v>45915</v>
      </c>
      <c r="P62" s="51">
        <v>1300</v>
      </c>
      <c r="Q62" s="33">
        <v>45945</v>
      </c>
      <c r="R62" s="28">
        <v>1500</v>
      </c>
      <c r="S62" s="1"/>
      <c r="T62" s="28">
        <v>1500</v>
      </c>
      <c r="U62" s="1"/>
      <c r="V62" s="28">
        <v>1500</v>
      </c>
      <c r="W62" s="1"/>
      <c r="X62" s="28">
        <v>1500</v>
      </c>
      <c r="Y62" s="1"/>
      <c r="Z62" s="28">
        <v>1500</v>
      </c>
      <c r="AA62" s="1"/>
      <c r="AB62" s="28">
        <v>1500</v>
      </c>
      <c r="AC62" s="1"/>
      <c r="AD62" s="28">
        <v>1500</v>
      </c>
      <c r="AE62" s="1"/>
      <c r="AF62" s="28">
        <v>1500</v>
      </c>
      <c r="AG62" s="1"/>
      <c r="AH62" s="1"/>
    </row>
    <row r="63" spans="1:34" ht="26.25" customHeight="1">
      <c r="A63" s="14">
        <v>52</v>
      </c>
      <c r="B63" s="15" t="s">
        <v>113</v>
      </c>
      <c r="C63" s="16" t="s">
        <v>114</v>
      </c>
      <c r="D63" s="17">
        <v>2</v>
      </c>
      <c r="E63" s="18">
        <v>9458208175</v>
      </c>
      <c r="F63" s="28">
        <v>1200</v>
      </c>
      <c r="G63" s="32">
        <v>45792</v>
      </c>
      <c r="H63" s="28">
        <v>1200</v>
      </c>
      <c r="I63" s="32">
        <v>45823</v>
      </c>
      <c r="J63" s="28">
        <v>1000</v>
      </c>
      <c r="K63" s="32">
        <v>45853</v>
      </c>
      <c r="L63" s="28">
        <v>1000</v>
      </c>
      <c r="M63" s="33">
        <v>45884</v>
      </c>
      <c r="N63" s="51">
        <v>1000</v>
      </c>
      <c r="O63" s="33">
        <v>45915</v>
      </c>
      <c r="P63" s="51">
        <v>1000</v>
      </c>
      <c r="Q63" s="33">
        <v>45945</v>
      </c>
      <c r="R63" s="28">
        <v>1200</v>
      </c>
      <c r="S63" s="1"/>
      <c r="T63" s="28">
        <v>1200</v>
      </c>
      <c r="U63" s="1"/>
      <c r="V63" s="28">
        <v>1200</v>
      </c>
      <c r="W63" s="1"/>
      <c r="X63" s="28">
        <v>1200</v>
      </c>
      <c r="Y63" s="1"/>
      <c r="Z63" s="28">
        <v>1200</v>
      </c>
      <c r="AA63" s="1"/>
      <c r="AB63" s="28">
        <v>1200</v>
      </c>
      <c r="AC63" s="1"/>
      <c r="AD63" s="28">
        <v>1200</v>
      </c>
      <c r="AE63" s="1"/>
      <c r="AF63" s="28">
        <v>1200</v>
      </c>
      <c r="AG63" s="1"/>
      <c r="AH63" s="1"/>
    </row>
    <row r="64" spans="1:34" s="42" customFormat="1" ht="26.25" customHeight="1">
      <c r="A64" s="34">
        <v>53</v>
      </c>
      <c r="B64" s="35"/>
      <c r="C64" s="36" t="s">
        <v>115</v>
      </c>
      <c r="D64" s="37"/>
      <c r="E64" s="38"/>
      <c r="F64" s="39"/>
      <c r="G64" s="39"/>
      <c r="H64" s="39"/>
      <c r="I64" s="39"/>
      <c r="J64" s="50"/>
      <c r="K64" s="39"/>
      <c r="L64" s="50"/>
      <c r="M64" s="40"/>
      <c r="N64" s="52"/>
      <c r="O64" s="40"/>
      <c r="P64" s="55"/>
      <c r="Q64" s="41"/>
      <c r="R64" s="28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</row>
    <row r="65" spans="1:34" ht="26.25" customHeight="1">
      <c r="A65" s="182" t="s">
        <v>11</v>
      </c>
      <c r="B65" s="183"/>
      <c r="C65" s="183"/>
      <c r="D65" s="183"/>
      <c r="E65" s="184"/>
      <c r="F65" s="182"/>
      <c r="G65" s="183"/>
      <c r="H65" s="183"/>
      <c r="I65" s="183"/>
      <c r="J65" s="184"/>
      <c r="K65" s="182"/>
      <c r="L65" s="183"/>
      <c r="M65" s="183"/>
      <c r="N65" s="183"/>
      <c r="O65" s="184"/>
      <c r="P65" s="182"/>
      <c r="Q65" s="183"/>
      <c r="R65" s="183"/>
      <c r="S65" s="183"/>
      <c r="T65" s="184"/>
      <c r="U65" s="182"/>
      <c r="V65" s="183"/>
      <c r="W65" s="183"/>
      <c r="X65" s="183"/>
      <c r="Y65" s="184"/>
      <c r="Z65" s="1"/>
      <c r="AA65" s="1"/>
      <c r="AB65" s="1"/>
      <c r="AC65" s="1"/>
      <c r="AD65" s="1"/>
      <c r="AE65" s="1"/>
      <c r="AF65" s="1"/>
      <c r="AG65" s="1"/>
      <c r="AH65" s="1"/>
    </row>
    <row r="66" spans="1:34" s="42" customFormat="1" ht="26.25" customHeight="1">
      <c r="A66" s="34">
        <v>54</v>
      </c>
      <c r="B66" s="35"/>
      <c r="C66" s="36" t="s">
        <v>116</v>
      </c>
      <c r="D66" s="37"/>
      <c r="E66" s="38"/>
      <c r="F66" s="39"/>
      <c r="G66" s="39"/>
      <c r="H66" s="39"/>
      <c r="I66" s="39"/>
      <c r="J66" s="50"/>
      <c r="K66" s="39"/>
      <c r="L66" s="50"/>
      <c r="M66" s="40"/>
      <c r="N66" s="52"/>
      <c r="O66" s="40"/>
      <c r="P66" s="55"/>
      <c r="Q66" s="41"/>
      <c r="R66" s="28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</row>
    <row r="67" spans="1:34" s="42" customFormat="1" ht="26.25" customHeight="1">
      <c r="A67" s="34">
        <v>55</v>
      </c>
      <c r="B67" s="35"/>
      <c r="C67" s="36" t="s">
        <v>117</v>
      </c>
      <c r="D67" s="37"/>
      <c r="E67" s="38"/>
      <c r="F67" s="39"/>
      <c r="G67" s="39"/>
      <c r="H67" s="39"/>
      <c r="I67" s="39"/>
      <c r="J67" s="50"/>
      <c r="K67" s="39"/>
      <c r="L67" s="50"/>
      <c r="M67" s="40"/>
      <c r="N67" s="52"/>
      <c r="O67" s="40"/>
      <c r="P67" s="55"/>
      <c r="Q67" s="41"/>
      <c r="R67" s="28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</row>
    <row r="68" spans="1:34" s="42" customFormat="1" ht="26.25" customHeight="1">
      <c r="A68" s="34">
        <v>56</v>
      </c>
      <c r="B68" s="35"/>
      <c r="C68" s="36" t="s">
        <v>118</v>
      </c>
      <c r="D68" s="37"/>
      <c r="E68" s="38"/>
      <c r="F68" s="39"/>
      <c r="G68" s="39"/>
      <c r="H68" s="39"/>
      <c r="I68" s="39"/>
      <c r="J68" s="50"/>
      <c r="K68" s="39"/>
      <c r="L68" s="50"/>
      <c r="M68" s="40"/>
      <c r="N68" s="52"/>
      <c r="O68" s="40"/>
      <c r="P68" s="55"/>
      <c r="Q68" s="41"/>
      <c r="R68" s="28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</row>
    <row r="69" spans="1:34" s="42" customFormat="1" ht="26.25" customHeight="1">
      <c r="A69" s="34">
        <v>57</v>
      </c>
      <c r="B69" s="35"/>
      <c r="C69" s="36" t="s">
        <v>119</v>
      </c>
      <c r="D69" s="37"/>
      <c r="E69" s="38"/>
      <c r="F69" s="39"/>
      <c r="G69" s="39"/>
      <c r="H69" s="39"/>
      <c r="I69" s="39"/>
      <c r="J69" s="50"/>
      <c r="K69" s="39"/>
      <c r="L69" s="50"/>
      <c r="M69" s="40"/>
      <c r="N69" s="52"/>
      <c r="O69" s="40"/>
      <c r="P69" s="55"/>
      <c r="Q69" s="41"/>
      <c r="R69" s="28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</row>
    <row r="70" spans="1:34" ht="26.25" customHeight="1">
      <c r="A70" s="14">
        <v>58</v>
      </c>
      <c r="B70" s="15" t="s">
        <v>120</v>
      </c>
      <c r="C70" s="16" t="s">
        <v>121</v>
      </c>
      <c r="D70" s="17">
        <v>3</v>
      </c>
      <c r="E70" s="18">
        <v>9681429435</v>
      </c>
      <c r="F70" s="28">
        <v>1200</v>
      </c>
      <c r="G70" s="32">
        <v>45792</v>
      </c>
      <c r="H70" s="19">
        <v>1200</v>
      </c>
      <c r="I70" s="32">
        <v>45823</v>
      </c>
      <c r="J70" s="28">
        <v>1300</v>
      </c>
      <c r="K70" s="19"/>
      <c r="L70" s="28">
        <v>1300</v>
      </c>
      <c r="M70" s="33">
        <v>45884</v>
      </c>
      <c r="N70" s="28">
        <v>1300</v>
      </c>
      <c r="O70" s="33">
        <v>45915</v>
      </c>
      <c r="P70" s="28">
        <v>1300</v>
      </c>
      <c r="Q70" s="33">
        <v>45945</v>
      </c>
      <c r="R70" s="28">
        <v>1500</v>
      </c>
      <c r="S70" s="1"/>
      <c r="T70" s="73">
        <v>1500</v>
      </c>
      <c r="U70" s="119"/>
      <c r="V70" s="73">
        <v>1500</v>
      </c>
      <c r="W70" s="119"/>
      <c r="X70" s="73">
        <v>1500</v>
      </c>
      <c r="Y70" s="1"/>
      <c r="Z70" s="73">
        <v>1500</v>
      </c>
      <c r="AA70" s="1"/>
      <c r="AB70" s="73">
        <v>1500</v>
      </c>
      <c r="AC70" s="1"/>
      <c r="AD70" s="73">
        <v>1500</v>
      </c>
      <c r="AE70" s="1"/>
      <c r="AF70" s="73">
        <v>1500</v>
      </c>
      <c r="AG70" s="1"/>
      <c r="AH70" s="1"/>
    </row>
    <row r="71" spans="1:34" ht="26.25" customHeight="1">
      <c r="A71" s="14">
        <v>59</v>
      </c>
      <c r="B71" s="15" t="s">
        <v>122</v>
      </c>
      <c r="C71" s="16" t="s">
        <v>123</v>
      </c>
      <c r="D71" s="17">
        <v>3</v>
      </c>
      <c r="E71" s="18">
        <v>7908970236</v>
      </c>
      <c r="F71" s="28">
        <v>1200</v>
      </c>
      <c r="G71" s="32">
        <v>45792</v>
      </c>
      <c r="H71" s="19">
        <v>1200</v>
      </c>
      <c r="I71" s="32">
        <v>45823</v>
      </c>
      <c r="J71" s="28">
        <v>1300</v>
      </c>
      <c r="K71" s="19"/>
      <c r="L71" s="28">
        <v>1300</v>
      </c>
      <c r="M71" s="33">
        <v>45884</v>
      </c>
      <c r="N71" s="28">
        <v>1300</v>
      </c>
      <c r="O71" s="33">
        <v>45915</v>
      </c>
      <c r="P71" s="28">
        <v>1300</v>
      </c>
      <c r="Q71" s="33">
        <v>45945</v>
      </c>
      <c r="R71" s="28">
        <v>1500</v>
      </c>
      <c r="S71" s="1"/>
      <c r="T71" s="73">
        <v>1500</v>
      </c>
      <c r="U71" s="119"/>
      <c r="V71" s="73">
        <v>1500</v>
      </c>
      <c r="W71" s="119"/>
      <c r="X71" s="73">
        <v>1500</v>
      </c>
      <c r="Y71" s="1"/>
      <c r="Z71" s="73">
        <v>1500</v>
      </c>
      <c r="AA71" s="1"/>
      <c r="AB71" s="73">
        <v>1500</v>
      </c>
      <c r="AC71" s="1"/>
      <c r="AD71" s="73">
        <v>1500</v>
      </c>
      <c r="AE71" s="1"/>
      <c r="AF71" s="73">
        <v>1500</v>
      </c>
      <c r="AG71" s="1"/>
      <c r="AH71" s="1"/>
    </row>
    <row r="72" spans="1:34" ht="26.25" customHeight="1">
      <c r="A72" s="14">
        <v>60</v>
      </c>
      <c r="B72" s="15" t="s">
        <v>124</v>
      </c>
      <c r="C72" s="16" t="s">
        <v>125</v>
      </c>
      <c r="D72" s="17">
        <v>2</v>
      </c>
      <c r="E72" s="18">
        <v>9046420491</v>
      </c>
      <c r="F72" s="28">
        <v>1200</v>
      </c>
      <c r="G72" s="32">
        <v>45792</v>
      </c>
      <c r="H72" s="19">
        <v>1200</v>
      </c>
      <c r="I72" s="32">
        <v>45823</v>
      </c>
      <c r="J72" s="28">
        <v>1000</v>
      </c>
      <c r="K72" s="19"/>
      <c r="L72" s="28">
        <v>1000</v>
      </c>
      <c r="M72" s="33">
        <v>45884</v>
      </c>
      <c r="N72" s="28">
        <v>1000</v>
      </c>
      <c r="O72" s="33">
        <v>45915</v>
      </c>
      <c r="P72" s="28">
        <v>1000</v>
      </c>
      <c r="Q72" s="33">
        <v>45945</v>
      </c>
      <c r="R72" s="28">
        <v>1200</v>
      </c>
      <c r="S72" s="1"/>
      <c r="T72" s="73">
        <v>1200</v>
      </c>
      <c r="U72" s="119"/>
      <c r="V72" s="73">
        <v>1200</v>
      </c>
      <c r="W72" s="119"/>
      <c r="X72" s="73">
        <v>1200</v>
      </c>
      <c r="Y72" s="1"/>
      <c r="Z72" s="73">
        <v>1200</v>
      </c>
      <c r="AA72" s="1"/>
      <c r="AB72" s="73">
        <v>1200</v>
      </c>
      <c r="AC72" s="1"/>
      <c r="AD72" s="73">
        <v>1200</v>
      </c>
      <c r="AE72" s="1"/>
      <c r="AF72" s="73">
        <v>1200</v>
      </c>
      <c r="AG72" s="1"/>
      <c r="AH72" s="1"/>
    </row>
    <row r="73" spans="1:34" s="42" customFormat="1" ht="26.25" customHeight="1">
      <c r="A73" s="34">
        <v>61</v>
      </c>
      <c r="B73" s="43"/>
      <c r="C73" s="36" t="s">
        <v>2</v>
      </c>
      <c r="D73" s="37"/>
      <c r="E73" s="44"/>
      <c r="F73" s="39"/>
      <c r="G73" s="39"/>
      <c r="H73" s="39"/>
      <c r="I73" s="39"/>
      <c r="J73" s="39"/>
      <c r="K73" s="39"/>
      <c r="L73" s="50"/>
      <c r="M73" s="40"/>
      <c r="N73" s="52"/>
      <c r="O73" s="40"/>
      <c r="P73" s="55"/>
      <c r="Q73" s="41"/>
      <c r="R73" s="28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</row>
    <row r="74" spans="1:34" s="42" customFormat="1" ht="26.25" customHeight="1">
      <c r="A74" s="60">
        <v>62</v>
      </c>
      <c r="B74" s="61" t="s">
        <v>132</v>
      </c>
      <c r="C74" s="62"/>
      <c r="D74" s="63"/>
      <c r="E74" s="64"/>
      <c r="F74" s="65"/>
      <c r="G74" s="65"/>
      <c r="H74" s="65"/>
      <c r="I74" s="65"/>
      <c r="J74" s="65"/>
      <c r="K74" s="65"/>
      <c r="L74" s="66"/>
      <c r="M74" s="67"/>
      <c r="N74" s="68"/>
      <c r="O74" s="67"/>
      <c r="P74" s="69"/>
      <c r="Q74" s="70"/>
      <c r="R74" s="28">
        <v>4400</v>
      </c>
      <c r="S74" s="33">
        <v>45940</v>
      </c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41"/>
    </row>
    <row r="75" spans="1:34" s="42" customFormat="1" ht="26.25" customHeight="1">
      <c r="A75" s="34">
        <v>63</v>
      </c>
      <c r="B75" s="61" t="s">
        <v>133</v>
      </c>
      <c r="C75" s="62"/>
      <c r="D75" s="63"/>
      <c r="E75" s="64"/>
      <c r="F75" s="65"/>
      <c r="G75" s="65"/>
      <c r="H75" s="65"/>
      <c r="I75" s="65"/>
      <c r="J75" s="65"/>
      <c r="K75" s="65"/>
      <c r="L75" s="66"/>
      <c r="M75" s="67"/>
      <c r="N75" s="68"/>
      <c r="O75" s="67"/>
      <c r="P75" s="69"/>
      <c r="Q75" s="70"/>
      <c r="R75" s="28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41"/>
    </row>
    <row r="76" spans="1:34" s="42" customFormat="1" ht="26.25" customHeight="1">
      <c r="A76" s="60">
        <v>64</v>
      </c>
      <c r="B76" s="61" t="s">
        <v>182</v>
      </c>
      <c r="C76" s="62"/>
      <c r="D76" s="63"/>
      <c r="E76" s="64"/>
      <c r="F76" s="65"/>
      <c r="G76" s="65"/>
      <c r="H76" s="65"/>
      <c r="I76" s="65"/>
      <c r="J76" s="65"/>
      <c r="K76" s="65"/>
      <c r="L76" s="66"/>
      <c r="M76" s="67"/>
      <c r="N76" s="68"/>
      <c r="O76" s="67"/>
      <c r="P76" s="69"/>
      <c r="Q76" s="70"/>
      <c r="R76" s="28">
        <v>6000</v>
      </c>
      <c r="S76" s="33">
        <v>45940</v>
      </c>
      <c r="T76" s="70"/>
      <c r="U76" s="70"/>
      <c r="V76" s="73">
        <v>4000</v>
      </c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41"/>
    </row>
    <row r="77" spans="1:34" ht="26.5" customHeight="1">
      <c r="A77" s="22"/>
      <c r="B77" s="180" t="s">
        <v>3</v>
      </c>
      <c r="C77" s="181"/>
      <c r="D77" s="23"/>
      <c r="E77" s="24"/>
      <c r="F77" s="25"/>
      <c r="G77" s="25"/>
      <c r="H77" s="25"/>
      <c r="I77" s="25"/>
      <c r="J77" s="25"/>
      <c r="K77" s="25"/>
      <c r="L77" s="25"/>
      <c r="M77" s="26"/>
      <c r="N77" s="54"/>
      <c r="O77" s="26"/>
      <c r="P77" s="56"/>
      <c r="Q77" s="12"/>
      <c r="R77" s="28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"/>
    </row>
    <row r="78" spans="1:34" ht="27" customHeight="1">
      <c r="A78" s="189" t="s">
        <v>21</v>
      </c>
      <c r="B78" s="189"/>
      <c r="C78" s="189"/>
      <c r="D78" s="189"/>
      <c r="E78" s="189"/>
      <c r="F78" s="28">
        <f>SUM(F6:F77)</f>
        <v>55200</v>
      </c>
      <c r="G78" s="28"/>
      <c r="H78" s="28">
        <f t="shared" ref="H78:AH78" si="0">SUM(H6:H77)</f>
        <v>55200</v>
      </c>
      <c r="I78" s="28"/>
      <c r="J78" s="28">
        <f t="shared" si="0"/>
        <v>54100</v>
      </c>
      <c r="K78" s="28"/>
      <c r="L78" s="28">
        <f t="shared" si="0"/>
        <v>71300</v>
      </c>
      <c r="M78" s="28"/>
      <c r="N78" s="28">
        <f t="shared" si="0"/>
        <v>57700</v>
      </c>
      <c r="O78" s="28"/>
      <c r="P78" s="28">
        <f t="shared" si="0"/>
        <v>57700</v>
      </c>
      <c r="Q78" s="13"/>
      <c r="R78" s="28">
        <f t="shared" si="0"/>
        <v>78900</v>
      </c>
      <c r="S78" s="13"/>
      <c r="T78" s="28">
        <f t="shared" si="0"/>
        <v>68500</v>
      </c>
      <c r="U78" s="13"/>
      <c r="V78" s="28">
        <f t="shared" si="0"/>
        <v>71000</v>
      </c>
      <c r="W78" s="13"/>
      <c r="X78" s="28">
        <f t="shared" si="0"/>
        <v>65800</v>
      </c>
      <c r="Y78" s="13"/>
      <c r="Z78" s="28">
        <f t="shared" si="0"/>
        <v>66000</v>
      </c>
      <c r="AA78" s="13">
        <f t="shared" si="0"/>
        <v>0</v>
      </c>
      <c r="AB78" s="28">
        <f t="shared" si="0"/>
        <v>66000</v>
      </c>
      <c r="AC78" s="13">
        <f t="shared" si="0"/>
        <v>0</v>
      </c>
      <c r="AD78" s="28">
        <f t="shared" ref="AD78:AE78" si="1">SUM(AD6:AD77)</f>
        <v>66000</v>
      </c>
      <c r="AE78" s="13">
        <f t="shared" si="1"/>
        <v>0</v>
      </c>
      <c r="AF78" s="28">
        <f t="shared" ref="AF78:AG78" si="2">SUM(AF6:AF77)</f>
        <v>64800</v>
      </c>
      <c r="AG78" s="13">
        <f t="shared" si="2"/>
        <v>0</v>
      </c>
      <c r="AH78" s="3">
        <f t="shared" si="0"/>
        <v>0</v>
      </c>
    </row>
    <row r="80" spans="1:34" ht="25">
      <c r="F80" s="176">
        <v>45748</v>
      </c>
      <c r="G80" s="177"/>
      <c r="H80" s="178">
        <v>45778</v>
      </c>
      <c r="I80" s="179"/>
      <c r="J80" s="176">
        <v>45809</v>
      </c>
      <c r="K80" s="177"/>
      <c r="L80" s="178">
        <v>45839</v>
      </c>
      <c r="M80" s="179"/>
      <c r="N80" s="176">
        <v>45870</v>
      </c>
      <c r="O80" s="177"/>
      <c r="P80" s="178">
        <v>45901</v>
      </c>
      <c r="Q80" s="179"/>
      <c r="R80" s="176">
        <v>45931</v>
      </c>
      <c r="S80" s="177"/>
      <c r="T80" s="178">
        <v>45962</v>
      </c>
      <c r="U80" s="179"/>
      <c r="V80" s="173">
        <v>45992</v>
      </c>
      <c r="W80" s="174"/>
      <c r="X80" s="173">
        <v>46023</v>
      </c>
      <c r="Y80" s="174"/>
      <c r="Z80" s="173">
        <v>46054</v>
      </c>
      <c r="AA80" s="174"/>
      <c r="AB80" s="173">
        <v>46082</v>
      </c>
      <c r="AC80" s="174"/>
      <c r="AD80" s="173">
        <v>46113</v>
      </c>
      <c r="AE80" s="174"/>
      <c r="AF80" s="173">
        <v>46143</v>
      </c>
      <c r="AG80" s="174"/>
    </row>
    <row r="81" spans="1:17" ht="32.5" customHeight="1">
      <c r="A81" s="175" t="s">
        <v>22</v>
      </c>
      <c r="B81" s="175"/>
      <c r="C81" s="175"/>
      <c r="D81" s="175"/>
      <c r="E81" s="175"/>
      <c r="F81" s="188">
        <f>SUM(F78:AC78)</f>
        <v>767400</v>
      </c>
      <c r="G81" s="188"/>
      <c r="H81" s="188"/>
      <c r="I81" s="188"/>
      <c r="J81" s="188"/>
      <c r="K81" s="188"/>
      <c r="L81" s="188"/>
      <c r="M81" s="188"/>
      <c r="N81" s="188"/>
      <c r="O81" s="188"/>
      <c r="P81" s="188"/>
      <c r="Q81" s="188"/>
    </row>
  </sheetData>
  <mergeCells count="72">
    <mergeCell ref="AD4:AE4"/>
    <mergeCell ref="AD80:AE80"/>
    <mergeCell ref="AF4:AG4"/>
    <mergeCell ref="AF80:AG80"/>
    <mergeCell ref="A1:AA2"/>
    <mergeCell ref="F65:J65"/>
    <mergeCell ref="K65:O65"/>
    <mergeCell ref="P65:T65"/>
    <mergeCell ref="U65:Y65"/>
    <mergeCell ref="F53:M53"/>
    <mergeCell ref="F54:M54"/>
    <mergeCell ref="F47:J47"/>
    <mergeCell ref="K47:O47"/>
    <mergeCell ref="P47:T47"/>
    <mergeCell ref="U47:Y47"/>
    <mergeCell ref="F56:J56"/>
    <mergeCell ref="K56:O56"/>
    <mergeCell ref="P56:T56"/>
    <mergeCell ref="K39:O39"/>
    <mergeCell ref="P39:T39"/>
    <mergeCell ref="Z80:AA80"/>
    <mergeCell ref="T80:U80"/>
    <mergeCell ref="V80:W80"/>
    <mergeCell ref="P80:Q80"/>
    <mergeCell ref="X80:Y80"/>
    <mergeCell ref="F80:G80"/>
    <mergeCell ref="H80:I80"/>
    <mergeCell ref="J80:K80"/>
    <mergeCell ref="L80:M80"/>
    <mergeCell ref="N80:O80"/>
    <mergeCell ref="R3:S3"/>
    <mergeCell ref="F3:G3"/>
    <mergeCell ref="U56:Y56"/>
    <mergeCell ref="P30:T30"/>
    <mergeCell ref="Z4:AA4"/>
    <mergeCell ref="J3:K3"/>
    <mergeCell ref="F21:J21"/>
    <mergeCell ref="K21:O21"/>
    <mergeCell ref="U39:Y39"/>
    <mergeCell ref="F41:M41"/>
    <mergeCell ref="A78:E78"/>
    <mergeCell ref="V4:W4"/>
    <mergeCell ref="A39:E39"/>
    <mergeCell ref="T4:U4"/>
    <mergeCell ref="F4:G4"/>
    <mergeCell ref="H4:I4"/>
    <mergeCell ref="J4:K4"/>
    <mergeCell ref="L4:M4"/>
    <mergeCell ref="P21:T21"/>
    <mergeCell ref="U21:Y21"/>
    <mergeCell ref="F30:J30"/>
    <mergeCell ref="K30:O30"/>
    <mergeCell ref="U30:Y30"/>
    <mergeCell ref="F39:J39"/>
    <mergeCell ref="X4:Y4"/>
    <mergeCell ref="F59:O59"/>
    <mergeCell ref="AB80:AC80"/>
    <mergeCell ref="A81:E81"/>
    <mergeCell ref="N4:O4"/>
    <mergeCell ref="P4:Q4"/>
    <mergeCell ref="R4:S4"/>
    <mergeCell ref="B77:C77"/>
    <mergeCell ref="A47:E47"/>
    <mergeCell ref="A56:E56"/>
    <mergeCell ref="A65:E65"/>
    <mergeCell ref="A13:E13"/>
    <mergeCell ref="A21:E21"/>
    <mergeCell ref="A30:E30"/>
    <mergeCell ref="A4:E4"/>
    <mergeCell ref="F81:Q81"/>
    <mergeCell ref="R80:S80"/>
    <mergeCell ref="AB4:AC4"/>
  </mergeCells>
  <phoneticPr fontId="5" type="noConversion"/>
  <pageMargins left="0.7" right="0.7" top="0.75" bottom="0.75" header="0.3" footer="0.3"/>
  <pageSetup paperSize="9" scale="34" orientation="portrait" r:id="rId1"/>
  <colBreaks count="1" manualBreakCount="1">
    <brk id="34" max="1048575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B0986-349B-4B1A-860F-2315B64A4EE8}">
  <dimension ref="A1:D17"/>
  <sheetViews>
    <sheetView view="pageBreakPreview" topLeftCell="A10" zoomScale="154" zoomScaleNormal="115" zoomScaleSheetLayoutView="154" workbookViewId="0">
      <selection activeCell="C17" sqref="C17"/>
    </sheetView>
  </sheetViews>
  <sheetFormatPr defaultRowHeight="13"/>
  <cols>
    <col min="1" max="1" width="8.69921875" customWidth="1"/>
    <col min="2" max="2" width="21.5" customWidth="1"/>
    <col min="3" max="3" width="31.296875" customWidth="1"/>
  </cols>
  <sheetData>
    <row r="1" spans="1:4" ht="52.5" customHeight="1">
      <c r="A1" s="198" t="s">
        <v>170</v>
      </c>
      <c r="B1" s="198"/>
      <c r="C1" s="198"/>
    </row>
    <row r="3" spans="1:4" ht="26.5" customHeight="1">
      <c r="A3" s="11" t="s">
        <v>129</v>
      </c>
      <c r="B3" s="11" t="s">
        <v>128</v>
      </c>
      <c r="C3" s="11" t="s">
        <v>18</v>
      </c>
    </row>
    <row r="4" spans="1:4" ht="18.649999999999999" customHeight="1">
      <c r="A4" s="48">
        <v>1</v>
      </c>
      <c r="B4" s="72">
        <v>45748</v>
      </c>
      <c r="C4" s="46">
        <f>'Details MC '!F78</f>
        <v>55200</v>
      </c>
    </row>
    <row r="5" spans="1:4" ht="18.649999999999999" customHeight="1">
      <c r="A5" s="48">
        <v>2</v>
      </c>
      <c r="B5" s="72">
        <v>45778</v>
      </c>
      <c r="C5" s="46">
        <f>'Details MC '!H78</f>
        <v>55200</v>
      </c>
    </row>
    <row r="6" spans="1:4" ht="18.649999999999999" customHeight="1">
      <c r="A6" s="48">
        <v>3</v>
      </c>
      <c r="B6" s="72">
        <v>45809</v>
      </c>
      <c r="C6" s="46">
        <f>'Details MC '!J78</f>
        <v>54100</v>
      </c>
    </row>
    <row r="7" spans="1:4" ht="18.649999999999999" customHeight="1">
      <c r="A7" s="48">
        <v>4</v>
      </c>
      <c r="B7" s="72">
        <v>45839</v>
      </c>
      <c r="C7" s="46">
        <f>'Details MC '!L78</f>
        <v>71300</v>
      </c>
    </row>
    <row r="8" spans="1:4" ht="18.649999999999999" customHeight="1">
      <c r="A8" s="48">
        <v>5</v>
      </c>
      <c r="B8" s="72">
        <v>45870</v>
      </c>
      <c r="C8" s="46">
        <f>'Details MC '!N78</f>
        <v>57700</v>
      </c>
    </row>
    <row r="9" spans="1:4" ht="18.649999999999999" customHeight="1">
      <c r="A9" s="48">
        <v>6</v>
      </c>
      <c r="B9" s="72">
        <v>45901</v>
      </c>
      <c r="C9" s="46">
        <f>'Details MC '!P78</f>
        <v>57700</v>
      </c>
    </row>
    <row r="10" spans="1:4" ht="18.649999999999999" customHeight="1">
      <c r="A10" s="48">
        <v>7</v>
      </c>
      <c r="B10" s="47">
        <v>45931</v>
      </c>
      <c r="C10" s="46">
        <f>'Details MC '!R78</f>
        <v>78900</v>
      </c>
      <c r="D10" s="122" t="s">
        <v>127</v>
      </c>
    </row>
    <row r="11" spans="1:4" ht="18.649999999999999" customHeight="1">
      <c r="A11" s="48">
        <v>8</v>
      </c>
      <c r="B11" s="47">
        <v>45962</v>
      </c>
      <c r="C11" s="46">
        <f>'Details MC '!T78</f>
        <v>68500</v>
      </c>
    </row>
    <row r="12" spans="1:4" ht="18.649999999999999" customHeight="1">
      <c r="A12" s="48">
        <v>9</v>
      </c>
      <c r="B12" s="47">
        <v>45992</v>
      </c>
      <c r="C12" s="46">
        <f>'Details MC '!V78</f>
        <v>71000</v>
      </c>
    </row>
    <row r="13" spans="1:4" ht="15.5">
      <c r="A13" s="48">
        <v>10</v>
      </c>
      <c r="B13" s="47">
        <v>46023</v>
      </c>
      <c r="C13" s="46">
        <f>'Details MC '!X78</f>
        <v>65800</v>
      </c>
    </row>
    <row r="14" spans="1:4" ht="15.5">
      <c r="A14" s="48">
        <v>11</v>
      </c>
      <c r="B14" s="47">
        <v>46054</v>
      </c>
      <c r="C14" s="48">
        <f>'Details MC '!Z78</f>
        <v>66000</v>
      </c>
    </row>
    <row r="15" spans="1:4" ht="15.5">
      <c r="A15" s="200">
        <v>12</v>
      </c>
      <c r="B15" s="47">
        <v>46082</v>
      </c>
      <c r="C15" s="48">
        <f>'Details MC '!AB78</f>
        <v>66000</v>
      </c>
    </row>
    <row r="16" spans="1:4" ht="15.5">
      <c r="A16" s="200">
        <v>13</v>
      </c>
      <c r="B16" s="47">
        <v>46113</v>
      </c>
      <c r="C16" s="48">
        <f>'Details MC '!AD78</f>
        <v>66000</v>
      </c>
    </row>
    <row r="17" spans="1:3" ht="15.5">
      <c r="A17" s="200">
        <v>14</v>
      </c>
      <c r="B17" s="47">
        <v>46143</v>
      </c>
      <c r="C17" s="48">
        <f>'Details MC '!AF78</f>
        <v>64800</v>
      </c>
    </row>
  </sheetData>
  <mergeCells count="1">
    <mergeCell ref="A1:C1"/>
  </mergeCells>
  <pageMargins left="0.7" right="0.7" top="0.75" bottom="0.75" header="0.3" footer="0.3"/>
  <pageSetup paperSize="9" scale="12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C1D33-6CDF-4F26-B97B-E4FC71263824}">
  <dimension ref="A1:BA141"/>
  <sheetViews>
    <sheetView view="pageBreakPreview" topLeftCell="A17" zoomScale="85" zoomScaleNormal="60" zoomScaleSheetLayoutView="85" workbookViewId="0">
      <selection activeCell="AX21" sqref="AX21"/>
    </sheetView>
  </sheetViews>
  <sheetFormatPr defaultRowHeight="13"/>
  <cols>
    <col min="1" max="1" width="8.19921875" customWidth="1"/>
    <col min="2" max="2" width="58.19921875" customWidth="1"/>
    <col min="3" max="3" width="12.19921875" hidden="1" customWidth="1"/>
    <col min="4" max="4" width="11.09765625" hidden="1" customWidth="1"/>
    <col min="5" max="16" width="14.5" hidden="1" customWidth="1"/>
    <col min="17" max="17" width="18.796875" hidden="1" customWidth="1"/>
    <col min="18" max="20" width="14.5" hidden="1" customWidth="1"/>
    <col min="21" max="21" width="18.796875" hidden="1" customWidth="1"/>
    <col min="22" max="24" width="14.5" hidden="1" customWidth="1"/>
    <col min="25" max="25" width="18.796875" hidden="1" customWidth="1"/>
    <col min="26" max="28" width="14.5" hidden="1" customWidth="1"/>
    <col min="29" max="29" width="18.796875" hidden="1" customWidth="1"/>
    <col min="30" max="32" width="14.5" hidden="1" customWidth="1"/>
    <col min="33" max="33" width="18.796875" hidden="1" customWidth="1"/>
    <col min="34" max="36" width="14.5" hidden="1" customWidth="1"/>
    <col min="37" max="37" width="18.796875" hidden="1" customWidth="1"/>
    <col min="38" max="40" width="14.5" hidden="1" customWidth="1"/>
    <col min="41" max="41" width="18.796875" hidden="1" customWidth="1"/>
    <col min="42" max="44" width="14.5" hidden="1" customWidth="1"/>
    <col min="45" max="45" width="18.796875" hidden="1" customWidth="1"/>
    <col min="46" max="48" width="14.5" customWidth="1"/>
    <col min="49" max="49" width="18.796875" customWidth="1"/>
    <col min="50" max="52" width="14.5" customWidth="1"/>
    <col min="53" max="53" width="22.19921875" customWidth="1"/>
  </cols>
  <sheetData>
    <row r="1" spans="1:53" ht="29.15" customHeight="1">
      <c r="A1" s="134" t="s">
        <v>140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</row>
    <row r="2" spans="1:53" ht="31.5" customHeight="1">
      <c r="A2" s="136" t="s">
        <v>141</v>
      </c>
      <c r="B2" s="138" t="s">
        <v>142</v>
      </c>
      <c r="C2" s="160" t="s">
        <v>143</v>
      </c>
      <c r="D2" s="161"/>
      <c r="E2" s="162" t="s">
        <v>144</v>
      </c>
      <c r="F2" s="163"/>
      <c r="G2" s="164"/>
      <c r="H2" s="160" t="s">
        <v>145</v>
      </c>
      <c r="I2" s="161"/>
      <c r="J2" s="165"/>
      <c r="K2" s="162" t="s">
        <v>146</v>
      </c>
      <c r="L2" s="163"/>
      <c r="M2" s="164"/>
      <c r="N2" s="160" t="s">
        <v>147</v>
      </c>
      <c r="O2" s="161"/>
      <c r="P2" s="161"/>
      <c r="Q2" s="165"/>
      <c r="R2" s="162" t="s">
        <v>169</v>
      </c>
      <c r="S2" s="163"/>
      <c r="T2" s="163"/>
      <c r="U2" s="163"/>
      <c r="V2" s="131" t="s">
        <v>183</v>
      </c>
      <c r="W2" s="132"/>
      <c r="X2" s="132"/>
      <c r="Y2" s="132"/>
      <c r="Z2" s="131" t="s">
        <v>188</v>
      </c>
      <c r="AA2" s="132"/>
      <c r="AB2" s="132"/>
      <c r="AC2" s="132"/>
      <c r="AD2" s="131" t="s">
        <v>189</v>
      </c>
      <c r="AE2" s="132"/>
      <c r="AF2" s="132"/>
      <c r="AG2" s="132"/>
      <c r="AH2" s="131" t="s">
        <v>191</v>
      </c>
      <c r="AI2" s="132"/>
      <c r="AJ2" s="132"/>
      <c r="AK2" s="132"/>
      <c r="AL2" s="131" t="s">
        <v>216</v>
      </c>
      <c r="AM2" s="132"/>
      <c r="AN2" s="132"/>
      <c r="AO2" s="132"/>
      <c r="AP2" s="131" t="s">
        <v>217</v>
      </c>
      <c r="AQ2" s="132"/>
      <c r="AR2" s="132"/>
      <c r="AS2" s="132"/>
      <c r="AT2" s="131" t="s">
        <v>227</v>
      </c>
      <c r="AU2" s="132"/>
      <c r="AV2" s="132"/>
      <c r="AW2" s="132"/>
      <c r="AX2" s="131" t="s">
        <v>228</v>
      </c>
      <c r="AY2" s="132"/>
      <c r="AZ2" s="132"/>
      <c r="BA2" s="132"/>
    </row>
    <row r="3" spans="1:53" ht="45.75" customHeight="1">
      <c r="A3" s="137"/>
      <c r="B3" s="138"/>
      <c r="C3" s="76" t="s">
        <v>149</v>
      </c>
      <c r="D3" s="76" t="s">
        <v>150</v>
      </c>
      <c r="E3" s="76" t="s">
        <v>149</v>
      </c>
      <c r="F3" s="76" t="s">
        <v>150</v>
      </c>
      <c r="G3" s="76" t="s">
        <v>171</v>
      </c>
      <c r="H3" s="76" t="s">
        <v>149</v>
      </c>
      <c r="I3" s="76" t="s">
        <v>150</v>
      </c>
      <c r="J3" s="76" t="s">
        <v>148</v>
      </c>
      <c r="K3" s="76" t="s">
        <v>149</v>
      </c>
      <c r="L3" s="76" t="s">
        <v>150</v>
      </c>
      <c r="M3" s="76" t="s">
        <v>171</v>
      </c>
      <c r="N3" s="76" t="s">
        <v>149</v>
      </c>
      <c r="O3" s="77" t="s">
        <v>150</v>
      </c>
      <c r="P3" s="76" t="s">
        <v>171</v>
      </c>
      <c r="Q3" s="104" t="s">
        <v>148</v>
      </c>
      <c r="R3" s="76" t="s">
        <v>149</v>
      </c>
      <c r="S3" s="77" t="s">
        <v>150</v>
      </c>
      <c r="T3" s="76" t="s">
        <v>171</v>
      </c>
      <c r="U3" s="104" t="s">
        <v>148</v>
      </c>
      <c r="V3" s="76" t="s">
        <v>149</v>
      </c>
      <c r="W3" s="77" t="s">
        <v>150</v>
      </c>
      <c r="X3" s="76" t="s">
        <v>171</v>
      </c>
      <c r="Y3" s="104" t="s">
        <v>148</v>
      </c>
      <c r="Z3" s="76" t="s">
        <v>149</v>
      </c>
      <c r="AA3" s="77" t="s">
        <v>150</v>
      </c>
      <c r="AB3" s="76" t="s">
        <v>171</v>
      </c>
      <c r="AC3" s="104" t="s">
        <v>148</v>
      </c>
      <c r="AD3" s="76" t="s">
        <v>149</v>
      </c>
      <c r="AE3" s="77" t="s">
        <v>150</v>
      </c>
      <c r="AF3" s="76" t="s">
        <v>171</v>
      </c>
      <c r="AG3" s="104" t="s">
        <v>148</v>
      </c>
      <c r="AH3" s="76" t="s">
        <v>149</v>
      </c>
      <c r="AI3" s="77" t="s">
        <v>150</v>
      </c>
      <c r="AJ3" s="76" t="s">
        <v>171</v>
      </c>
      <c r="AK3" s="104" t="s">
        <v>148</v>
      </c>
      <c r="AL3" s="76" t="s">
        <v>149</v>
      </c>
      <c r="AM3" s="77" t="s">
        <v>150</v>
      </c>
      <c r="AN3" s="76" t="s">
        <v>171</v>
      </c>
      <c r="AO3" s="104" t="s">
        <v>148</v>
      </c>
      <c r="AP3" s="76" t="s">
        <v>149</v>
      </c>
      <c r="AQ3" s="77" t="s">
        <v>150</v>
      </c>
      <c r="AR3" s="76" t="s">
        <v>171</v>
      </c>
      <c r="AS3" s="104" t="s">
        <v>148</v>
      </c>
      <c r="AT3" s="76" t="s">
        <v>149</v>
      </c>
      <c r="AU3" s="77" t="s">
        <v>150</v>
      </c>
      <c r="AV3" s="76" t="s">
        <v>171</v>
      </c>
      <c r="AW3" s="104" t="s">
        <v>148</v>
      </c>
      <c r="AX3" s="76" t="s">
        <v>149</v>
      </c>
      <c r="AY3" s="77" t="s">
        <v>150</v>
      </c>
      <c r="AZ3" s="76" t="s">
        <v>171</v>
      </c>
      <c r="BA3" s="104" t="s">
        <v>148</v>
      </c>
    </row>
    <row r="4" spans="1:53" ht="44.5" customHeight="1">
      <c r="A4" s="78">
        <v>1</v>
      </c>
      <c r="B4" s="79" t="s">
        <v>151</v>
      </c>
      <c r="C4" s="80"/>
      <c r="D4" s="81"/>
      <c r="E4" s="82"/>
      <c r="F4" s="83"/>
      <c r="G4" s="83"/>
      <c r="H4" s="82"/>
      <c r="I4" s="83"/>
      <c r="J4" s="83"/>
      <c r="K4" s="84">
        <v>5500</v>
      </c>
      <c r="L4" s="105">
        <v>45843</v>
      </c>
      <c r="M4" s="105"/>
      <c r="N4" s="114">
        <v>5500</v>
      </c>
      <c r="O4" s="105">
        <v>45874</v>
      </c>
      <c r="P4" s="105"/>
      <c r="Q4" s="85"/>
      <c r="R4" s="115">
        <v>5500</v>
      </c>
      <c r="S4" s="105">
        <v>45905</v>
      </c>
      <c r="T4" s="105"/>
      <c r="U4" s="85"/>
      <c r="V4" s="115">
        <v>4950</v>
      </c>
      <c r="W4" s="105">
        <v>45938</v>
      </c>
      <c r="X4" s="105"/>
      <c r="Y4" s="85"/>
      <c r="Z4" s="115">
        <v>5340</v>
      </c>
      <c r="AA4" s="105" t="s">
        <v>192</v>
      </c>
      <c r="AB4" s="105"/>
      <c r="AC4" s="85" t="s">
        <v>193</v>
      </c>
      <c r="AD4" s="115">
        <v>5500</v>
      </c>
      <c r="AE4" s="105" t="s">
        <v>201</v>
      </c>
      <c r="AF4" s="105"/>
      <c r="AG4" s="85"/>
      <c r="AH4" s="115">
        <v>5323</v>
      </c>
      <c r="AI4" s="105" t="s">
        <v>209</v>
      </c>
      <c r="AJ4" s="105"/>
      <c r="AK4" s="85"/>
      <c r="AL4" s="115">
        <v>8430</v>
      </c>
      <c r="AM4" s="105">
        <v>46063</v>
      </c>
      <c r="AN4" s="105"/>
      <c r="AO4" s="85"/>
      <c r="AP4" s="115">
        <v>10180</v>
      </c>
      <c r="AQ4" s="105">
        <v>46100</v>
      </c>
      <c r="AR4" s="105"/>
      <c r="AS4" s="85"/>
      <c r="AT4" s="115">
        <v>11000</v>
      </c>
      <c r="AU4" s="105">
        <v>46130</v>
      </c>
      <c r="AV4" s="105"/>
      <c r="AW4" s="85"/>
      <c r="AX4" s="115">
        <v>10267</v>
      </c>
      <c r="AY4" s="105">
        <v>46157</v>
      </c>
      <c r="AZ4" s="105"/>
      <c r="BA4" s="85"/>
    </row>
    <row r="5" spans="1:53" ht="44.5" customHeight="1">
      <c r="A5" s="86">
        <v>2</v>
      </c>
      <c r="B5" s="87" t="s">
        <v>172</v>
      </c>
      <c r="C5" s="80"/>
      <c r="D5" s="81"/>
      <c r="E5" s="82"/>
      <c r="F5" s="83"/>
      <c r="G5" s="83"/>
      <c r="H5" s="82"/>
      <c r="I5" s="83"/>
      <c r="J5" s="83"/>
      <c r="K5" s="84">
        <v>5000</v>
      </c>
      <c r="L5" s="105">
        <v>45843</v>
      </c>
      <c r="M5" s="105"/>
      <c r="N5" s="114">
        <v>10000</v>
      </c>
      <c r="O5" s="105">
        <v>45874</v>
      </c>
      <c r="P5" s="105"/>
      <c r="Q5" s="85"/>
      <c r="R5" s="114">
        <v>9190</v>
      </c>
      <c r="S5" s="105">
        <v>45905</v>
      </c>
      <c r="T5" s="105"/>
      <c r="U5" s="85"/>
      <c r="V5" s="114">
        <v>9300</v>
      </c>
      <c r="W5" s="105">
        <v>45938</v>
      </c>
      <c r="X5" s="105"/>
      <c r="Y5" s="85"/>
      <c r="Z5" s="114">
        <v>10000</v>
      </c>
      <c r="AA5" s="105" t="s">
        <v>192</v>
      </c>
      <c r="AB5" s="105"/>
      <c r="AC5" s="85"/>
      <c r="AD5" s="114">
        <v>15000</v>
      </c>
      <c r="AE5" s="105" t="s">
        <v>199</v>
      </c>
      <c r="AF5" s="105"/>
      <c r="AG5" s="85" t="s">
        <v>200</v>
      </c>
      <c r="AH5" s="114">
        <v>15000</v>
      </c>
      <c r="AI5" s="105" t="s">
        <v>209</v>
      </c>
      <c r="AJ5" s="105"/>
      <c r="AK5" s="85"/>
      <c r="AL5" s="114">
        <v>15000</v>
      </c>
      <c r="AM5" s="105">
        <v>46063</v>
      </c>
      <c r="AN5" s="105"/>
      <c r="AO5" s="85" t="s">
        <v>229</v>
      </c>
      <c r="AP5" s="114">
        <v>15000</v>
      </c>
      <c r="AQ5" s="105">
        <v>46100</v>
      </c>
      <c r="AR5" s="105"/>
      <c r="AS5" s="85" t="s">
        <v>230</v>
      </c>
      <c r="AT5" s="114">
        <v>15000</v>
      </c>
      <c r="AU5" s="105">
        <v>46130</v>
      </c>
      <c r="AV5" s="105"/>
      <c r="AW5" s="85"/>
      <c r="AX5" s="114">
        <v>15000</v>
      </c>
      <c r="AY5" s="105">
        <v>46157</v>
      </c>
      <c r="AZ5" s="105"/>
      <c r="BA5" s="85"/>
    </row>
    <row r="6" spans="1:53" ht="44.5" customHeight="1">
      <c r="A6" s="86">
        <v>3</v>
      </c>
      <c r="B6" s="87" t="s">
        <v>152</v>
      </c>
      <c r="C6" s="80"/>
      <c r="D6" s="81"/>
      <c r="E6" s="82"/>
      <c r="F6" s="88"/>
      <c r="G6" s="88"/>
      <c r="H6" s="82">
        <v>1500</v>
      </c>
      <c r="I6" s="105">
        <v>45810</v>
      </c>
      <c r="J6" s="105"/>
      <c r="K6" s="82">
        <v>1500</v>
      </c>
      <c r="L6" s="105">
        <v>45842</v>
      </c>
      <c r="M6" s="105"/>
      <c r="N6" s="114">
        <v>1500</v>
      </c>
      <c r="O6" s="105">
        <v>45872</v>
      </c>
      <c r="P6" s="105"/>
      <c r="Q6" s="85"/>
      <c r="R6" s="114">
        <v>1500</v>
      </c>
      <c r="S6" s="105">
        <v>45903</v>
      </c>
      <c r="T6" s="105"/>
      <c r="U6" s="85"/>
      <c r="V6" s="114">
        <v>1500</v>
      </c>
      <c r="W6" s="105">
        <v>45931</v>
      </c>
      <c r="X6" s="105"/>
      <c r="Y6" s="85"/>
      <c r="Z6" s="114">
        <v>2000</v>
      </c>
      <c r="AA6" s="105" t="s">
        <v>194</v>
      </c>
      <c r="AB6" s="105"/>
      <c r="AC6" s="85"/>
      <c r="AD6" s="114">
        <v>2000</v>
      </c>
      <c r="AE6" s="105" t="s">
        <v>202</v>
      </c>
      <c r="AF6" s="105"/>
      <c r="AG6" s="85"/>
      <c r="AH6" s="114">
        <v>2000</v>
      </c>
      <c r="AI6" s="105">
        <v>46025</v>
      </c>
      <c r="AJ6" s="105"/>
      <c r="AK6" s="85"/>
      <c r="AL6" s="114">
        <v>2000</v>
      </c>
      <c r="AM6" s="105">
        <v>46055</v>
      </c>
      <c r="AN6" s="105"/>
      <c r="AO6" s="85"/>
      <c r="AP6" s="114">
        <v>2500</v>
      </c>
      <c r="AQ6" s="105">
        <v>46082</v>
      </c>
      <c r="AR6" s="105"/>
      <c r="AS6" s="90" t="s">
        <v>224</v>
      </c>
      <c r="AT6" s="114">
        <f>1500+1000</f>
        <v>2500</v>
      </c>
      <c r="AU6" s="105">
        <v>46113</v>
      </c>
      <c r="AV6" s="105"/>
      <c r="AW6" s="90" t="s">
        <v>237</v>
      </c>
      <c r="AX6" s="114">
        <v>3000</v>
      </c>
      <c r="AY6" s="105">
        <v>46146</v>
      </c>
      <c r="AZ6" s="105"/>
      <c r="BA6" s="90" t="s">
        <v>240</v>
      </c>
    </row>
    <row r="7" spans="1:53" ht="56.15" customHeight="1">
      <c r="A7" s="86">
        <v>4</v>
      </c>
      <c r="B7" s="87" t="s">
        <v>153</v>
      </c>
      <c r="C7" s="80"/>
      <c r="D7" s="81"/>
      <c r="E7" s="82">
        <v>15940</v>
      </c>
      <c r="F7" s="105">
        <v>45790</v>
      </c>
      <c r="G7" s="105"/>
      <c r="H7" s="82">
        <f>18393+226</f>
        <v>18619</v>
      </c>
      <c r="I7" s="89">
        <v>45817</v>
      </c>
      <c r="J7" s="90" t="s">
        <v>154</v>
      </c>
      <c r="K7" s="84">
        <v>12293</v>
      </c>
      <c r="L7" s="105">
        <v>45847</v>
      </c>
      <c r="M7" s="105"/>
      <c r="N7" s="115">
        <v>10010</v>
      </c>
      <c r="O7" s="105">
        <v>45871</v>
      </c>
      <c r="P7" s="105"/>
      <c r="Q7" s="90"/>
      <c r="R7" s="115">
        <v>20526</v>
      </c>
      <c r="S7" s="105">
        <v>45902</v>
      </c>
      <c r="T7" s="105"/>
      <c r="U7" s="90"/>
      <c r="V7" s="115">
        <v>19242</v>
      </c>
      <c r="W7" s="105">
        <v>45936</v>
      </c>
      <c r="X7" s="105"/>
      <c r="Y7" s="90"/>
      <c r="Z7" s="115">
        <v>15366</v>
      </c>
      <c r="AA7" s="105" t="s">
        <v>192</v>
      </c>
      <c r="AB7" s="105"/>
      <c r="AC7" s="90"/>
      <c r="AD7" s="115">
        <v>22913</v>
      </c>
      <c r="AE7" s="105" t="s">
        <v>203</v>
      </c>
      <c r="AF7" s="105"/>
      <c r="AG7" s="90"/>
      <c r="AH7" s="115">
        <v>18237</v>
      </c>
      <c r="AI7" s="105">
        <v>46048</v>
      </c>
      <c r="AJ7" s="105"/>
      <c r="AK7" s="90"/>
      <c r="AL7" s="115">
        <v>15635</v>
      </c>
      <c r="AM7" s="105">
        <v>46069</v>
      </c>
      <c r="AN7" s="105"/>
      <c r="AO7" s="90"/>
      <c r="AP7" s="115">
        <v>17286</v>
      </c>
      <c r="AQ7" s="128">
        <v>46082</v>
      </c>
      <c r="AR7" s="105"/>
      <c r="AS7" s="90"/>
      <c r="AT7" s="115">
        <v>12248</v>
      </c>
      <c r="AU7" s="204">
        <v>46132</v>
      </c>
      <c r="AV7" s="105"/>
      <c r="AW7" s="90"/>
      <c r="AX7" s="115">
        <v>19906</v>
      </c>
      <c r="AY7" s="204">
        <v>46154</v>
      </c>
      <c r="AZ7" s="105"/>
      <c r="BA7" s="90"/>
    </row>
    <row r="8" spans="1:53" ht="44.5" customHeight="1">
      <c r="A8" s="86">
        <v>5</v>
      </c>
      <c r="B8" s="91" t="s">
        <v>155</v>
      </c>
      <c r="C8" s="80"/>
      <c r="D8" s="81"/>
      <c r="E8" s="82">
        <v>5000</v>
      </c>
      <c r="F8" s="105">
        <v>45796</v>
      </c>
      <c r="G8" s="105"/>
      <c r="H8" s="82"/>
      <c r="I8" s="83"/>
      <c r="J8" s="83"/>
      <c r="K8" s="92">
        <v>4570</v>
      </c>
      <c r="L8" s="105">
        <v>45843</v>
      </c>
      <c r="M8" s="105"/>
      <c r="N8" s="82"/>
      <c r="O8" s="105"/>
      <c r="P8" s="105"/>
      <c r="Q8" s="85"/>
      <c r="R8" s="114">
        <v>5731</v>
      </c>
      <c r="S8" s="105">
        <v>45903</v>
      </c>
      <c r="T8" s="105"/>
      <c r="U8" s="85"/>
      <c r="V8" s="114"/>
      <c r="W8" s="105"/>
      <c r="X8" s="105"/>
      <c r="Y8" s="85"/>
      <c r="Z8" s="114"/>
      <c r="AA8" s="105"/>
      <c r="AB8" s="105"/>
      <c r="AC8" s="85"/>
      <c r="AD8" s="114">
        <f>1800+5194</f>
        <v>6994</v>
      </c>
      <c r="AE8" s="116" t="s">
        <v>205</v>
      </c>
      <c r="AF8" s="105"/>
      <c r="AG8" s="85" t="s">
        <v>204</v>
      </c>
      <c r="AH8" s="114">
        <v>15574</v>
      </c>
      <c r="AI8" s="105">
        <v>46035</v>
      </c>
      <c r="AJ8" s="105"/>
      <c r="AK8" s="85" t="s">
        <v>210</v>
      </c>
      <c r="AL8" s="114"/>
      <c r="AM8" s="105"/>
      <c r="AN8" s="105"/>
      <c r="AO8" s="85"/>
      <c r="AP8" s="114">
        <v>7384</v>
      </c>
      <c r="AQ8" s="128">
        <v>46091</v>
      </c>
      <c r="AR8" s="105"/>
      <c r="AS8" s="127" t="s">
        <v>225</v>
      </c>
      <c r="AT8" s="114"/>
      <c r="AU8" s="128"/>
      <c r="AV8" s="105"/>
      <c r="AW8" s="127"/>
      <c r="AX8" s="114"/>
      <c r="AY8" s="128"/>
      <c r="AZ8" s="105"/>
      <c r="BA8" s="127"/>
    </row>
    <row r="9" spans="1:53" ht="33" customHeight="1">
      <c r="A9" s="139">
        <v>6</v>
      </c>
      <c r="B9" s="142" t="s">
        <v>156</v>
      </c>
      <c r="C9" s="145"/>
      <c r="D9" s="148"/>
      <c r="E9" s="151">
        <v>2593</v>
      </c>
      <c r="F9" s="154">
        <v>45808</v>
      </c>
      <c r="G9" s="154"/>
      <c r="H9" s="151"/>
      <c r="I9" s="157"/>
      <c r="J9" s="157"/>
      <c r="K9" s="151">
        <v>223</v>
      </c>
      <c r="L9" s="167">
        <v>45857</v>
      </c>
      <c r="M9" s="167"/>
      <c r="N9" s="151">
        <v>155</v>
      </c>
      <c r="O9" s="167">
        <v>45882</v>
      </c>
      <c r="P9" s="105"/>
      <c r="Q9" s="90"/>
      <c r="R9" s="114">
        <v>140</v>
      </c>
      <c r="S9" s="105">
        <v>45908</v>
      </c>
      <c r="T9" s="105"/>
      <c r="U9" s="90" t="s">
        <v>173</v>
      </c>
      <c r="V9" s="114">
        <v>540</v>
      </c>
      <c r="W9" s="105">
        <v>45937</v>
      </c>
      <c r="X9" s="105"/>
      <c r="Y9" s="105" t="s">
        <v>184</v>
      </c>
      <c r="Z9" s="114"/>
      <c r="AA9" s="105"/>
      <c r="AB9" s="105"/>
      <c r="AC9" s="105"/>
      <c r="AD9" s="114">
        <f>1716+565</f>
        <v>2281</v>
      </c>
      <c r="AE9" s="116" t="s">
        <v>206</v>
      </c>
      <c r="AF9" s="105"/>
      <c r="AG9" s="85" t="s">
        <v>207</v>
      </c>
      <c r="AH9" s="114">
        <v>1128</v>
      </c>
      <c r="AI9" s="105">
        <v>46053</v>
      </c>
      <c r="AJ9" s="105"/>
      <c r="AK9" s="105"/>
      <c r="AL9" s="114"/>
      <c r="AM9" s="105"/>
      <c r="AN9" s="105"/>
      <c r="AO9" s="105"/>
      <c r="AP9" s="114">
        <f>496+523</f>
        <v>1019</v>
      </c>
      <c r="AQ9" s="105">
        <v>46093</v>
      </c>
      <c r="AR9" s="105"/>
      <c r="AS9" s="105" t="s">
        <v>235</v>
      </c>
      <c r="AT9" s="114">
        <f>100+350</f>
        <v>450</v>
      </c>
      <c r="AU9" s="105">
        <v>46103</v>
      </c>
      <c r="AV9" s="105"/>
      <c r="AW9" s="90" t="s">
        <v>238</v>
      </c>
      <c r="AX9" s="114">
        <v>194</v>
      </c>
      <c r="AY9" s="105">
        <v>46153</v>
      </c>
      <c r="AZ9" s="105"/>
      <c r="BA9" s="105" t="s">
        <v>234</v>
      </c>
    </row>
    <row r="10" spans="1:53" ht="58.5" customHeight="1">
      <c r="A10" s="140"/>
      <c r="B10" s="143"/>
      <c r="C10" s="146"/>
      <c r="D10" s="149"/>
      <c r="E10" s="152"/>
      <c r="F10" s="155"/>
      <c r="G10" s="155"/>
      <c r="H10" s="152"/>
      <c r="I10" s="158"/>
      <c r="J10" s="158"/>
      <c r="K10" s="152"/>
      <c r="L10" s="172"/>
      <c r="M10" s="172"/>
      <c r="N10" s="153"/>
      <c r="O10" s="168"/>
      <c r="P10" s="105"/>
      <c r="Q10" s="90" t="s">
        <v>157</v>
      </c>
      <c r="R10" s="114">
        <v>936</v>
      </c>
      <c r="S10" s="105">
        <v>45925</v>
      </c>
      <c r="T10" s="105"/>
      <c r="U10" s="90" t="s">
        <v>174</v>
      </c>
      <c r="V10" s="114">
        <v>210</v>
      </c>
      <c r="W10" s="105">
        <v>45938</v>
      </c>
      <c r="X10" s="105"/>
      <c r="Y10" s="105" t="s">
        <v>185</v>
      </c>
      <c r="Z10" s="114"/>
      <c r="AA10" s="105"/>
      <c r="AB10" s="105"/>
      <c r="AC10" s="105"/>
      <c r="AD10" s="114">
        <v>55</v>
      </c>
      <c r="AE10" s="105" t="s">
        <v>208</v>
      </c>
      <c r="AF10" s="105"/>
      <c r="AG10" s="105" t="s">
        <v>185</v>
      </c>
      <c r="AH10" s="114">
        <v>220</v>
      </c>
      <c r="AI10" s="105">
        <v>46038</v>
      </c>
      <c r="AJ10" s="105"/>
      <c r="AK10" s="116" t="s">
        <v>211</v>
      </c>
      <c r="AL10" s="114">
        <v>405</v>
      </c>
      <c r="AM10" s="105">
        <v>46076</v>
      </c>
      <c r="AN10" s="105"/>
      <c r="AO10" s="116" t="s">
        <v>222</v>
      </c>
      <c r="AP10" s="114"/>
      <c r="AQ10" s="105"/>
      <c r="AR10" s="105"/>
      <c r="AS10" s="116"/>
      <c r="AT10" s="114"/>
      <c r="AU10" s="105"/>
      <c r="AV10" s="105"/>
      <c r="AW10" s="116"/>
      <c r="AX10" s="114"/>
      <c r="AY10" s="105"/>
      <c r="AZ10" s="105"/>
      <c r="BA10" s="116"/>
    </row>
    <row r="11" spans="1:53" ht="73.5" customHeight="1">
      <c r="A11" s="140"/>
      <c r="B11" s="143"/>
      <c r="C11" s="146"/>
      <c r="D11" s="149"/>
      <c r="E11" s="152"/>
      <c r="F11" s="155"/>
      <c r="G11" s="155"/>
      <c r="H11" s="152"/>
      <c r="I11" s="158"/>
      <c r="J11" s="158"/>
      <c r="K11" s="152"/>
      <c r="L11" s="172"/>
      <c r="M11" s="172"/>
      <c r="N11" s="82">
        <v>525</v>
      </c>
      <c r="O11" s="105">
        <v>45883</v>
      </c>
      <c r="P11" s="105"/>
      <c r="Q11" s="90" t="s">
        <v>158</v>
      </c>
      <c r="R11" s="82"/>
      <c r="S11" s="105"/>
      <c r="T11" s="105"/>
      <c r="U11" s="90"/>
      <c r="V11" s="82">
        <v>5700</v>
      </c>
      <c r="W11" s="105"/>
      <c r="X11" s="105"/>
      <c r="Y11" s="116" t="s">
        <v>187</v>
      </c>
      <c r="Z11" s="82"/>
      <c r="AA11" s="105"/>
      <c r="AB11" s="105"/>
      <c r="AC11" s="116"/>
      <c r="AD11" s="82"/>
      <c r="AE11" s="105"/>
      <c r="AF11" s="105"/>
      <c r="AG11" s="116"/>
      <c r="AH11" s="82">
        <v>200</v>
      </c>
      <c r="AI11" s="105">
        <v>46039</v>
      </c>
      <c r="AJ11" s="105"/>
      <c r="AK11" s="116" t="s">
        <v>212</v>
      </c>
      <c r="AL11" s="82">
        <v>767</v>
      </c>
      <c r="AM11" s="105">
        <v>46075</v>
      </c>
      <c r="AN11" s="105"/>
      <c r="AO11" s="116" t="s">
        <v>223</v>
      </c>
      <c r="AP11" s="82"/>
      <c r="AQ11" s="105"/>
      <c r="AR11" s="105"/>
      <c r="AS11" s="116"/>
      <c r="AT11" s="114"/>
      <c r="AU11" s="105"/>
      <c r="AV11" s="105"/>
      <c r="AW11" s="116"/>
      <c r="AX11" s="82"/>
      <c r="AY11" s="105"/>
      <c r="AZ11" s="105"/>
      <c r="BA11" s="116"/>
    </row>
    <row r="12" spans="1:53" ht="44.5" customHeight="1">
      <c r="A12" s="141"/>
      <c r="B12" s="144"/>
      <c r="C12" s="147"/>
      <c r="D12" s="150"/>
      <c r="E12" s="153"/>
      <c r="F12" s="156"/>
      <c r="G12" s="156"/>
      <c r="H12" s="153"/>
      <c r="I12" s="159"/>
      <c r="J12" s="159"/>
      <c r="K12" s="153"/>
      <c r="L12" s="168"/>
      <c r="M12" s="168"/>
      <c r="N12" s="82">
        <v>376</v>
      </c>
      <c r="O12" s="105">
        <v>45885</v>
      </c>
      <c r="P12" s="105"/>
      <c r="Q12" s="90" t="s">
        <v>177</v>
      </c>
      <c r="R12" s="82"/>
      <c r="S12" s="105"/>
      <c r="T12" s="105"/>
      <c r="U12" s="90"/>
      <c r="V12" s="82"/>
      <c r="W12" s="105"/>
      <c r="X12" s="105"/>
      <c r="Y12" s="90"/>
      <c r="Z12" s="82"/>
      <c r="AA12" s="105"/>
      <c r="AB12" s="105"/>
      <c r="AC12" s="90"/>
      <c r="AD12" s="82"/>
      <c r="AE12" s="105"/>
      <c r="AF12" s="105"/>
      <c r="AG12" s="90"/>
      <c r="AH12" s="82">
        <v>200</v>
      </c>
      <c r="AI12" s="105" t="s">
        <v>213</v>
      </c>
      <c r="AJ12" s="105"/>
      <c r="AK12" s="116" t="s">
        <v>214</v>
      </c>
      <c r="AL12" s="82"/>
      <c r="AM12" s="105"/>
      <c r="AN12" s="105"/>
      <c r="AO12" s="116"/>
      <c r="AP12" s="82"/>
      <c r="AQ12" s="105"/>
      <c r="AR12" s="105"/>
      <c r="AS12" s="116"/>
      <c r="AT12" s="114"/>
      <c r="AU12" s="105"/>
      <c r="AV12" s="105"/>
      <c r="AW12" s="116"/>
      <c r="AX12" s="82"/>
      <c r="AY12" s="105"/>
      <c r="AZ12" s="105"/>
      <c r="BA12" s="116"/>
    </row>
    <row r="13" spans="1:53" ht="32" customHeight="1">
      <c r="A13" s="93">
        <v>7</v>
      </c>
      <c r="B13" s="79" t="s">
        <v>159</v>
      </c>
      <c r="C13" s="80"/>
      <c r="D13" s="81"/>
      <c r="E13" s="82"/>
      <c r="F13" s="89"/>
      <c r="G13" s="89"/>
      <c r="H13" s="82"/>
      <c r="I13" s="83"/>
      <c r="J13" s="83"/>
      <c r="K13" s="82">
        <v>1349</v>
      </c>
      <c r="L13" s="105">
        <v>45852</v>
      </c>
      <c r="M13" s="105"/>
      <c r="N13" s="82"/>
      <c r="O13" s="105"/>
      <c r="P13" s="105"/>
      <c r="Q13" s="90"/>
      <c r="R13" s="82"/>
      <c r="S13" s="105"/>
      <c r="T13" s="105"/>
      <c r="U13" s="90"/>
      <c r="V13" s="82"/>
      <c r="W13" s="105"/>
      <c r="X13" s="105"/>
      <c r="Y13" s="90"/>
      <c r="Z13" s="82"/>
      <c r="AA13" s="105"/>
      <c r="AB13" s="105"/>
      <c r="AC13" s="90"/>
      <c r="AD13" s="82"/>
      <c r="AE13" s="105"/>
      <c r="AF13" s="105"/>
      <c r="AG13" s="90"/>
      <c r="AH13" s="82"/>
      <c r="AI13" s="105"/>
      <c r="AJ13" s="105"/>
      <c r="AK13" s="90"/>
      <c r="AL13" s="82"/>
      <c r="AM13" s="105"/>
      <c r="AN13" s="105"/>
      <c r="AO13" s="90"/>
      <c r="AP13" s="82"/>
      <c r="AQ13" s="105"/>
      <c r="AR13" s="105"/>
      <c r="AS13" s="90"/>
      <c r="AT13" s="114"/>
      <c r="AU13" s="105"/>
      <c r="AV13" s="105"/>
      <c r="AW13" s="90"/>
      <c r="AX13" s="82"/>
      <c r="AY13" s="105"/>
      <c r="AZ13" s="105"/>
      <c r="BA13" s="90"/>
    </row>
    <row r="14" spans="1:53" ht="44.5" customHeight="1">
      <c r="A14" s="94">
        <v>8</v>
      </c>
      <c r="B14" s="95" t="s">
        <v>160</v>
      </c>
      <c r="C14" s="80"/>
      <c r="D14" s="81"/>
      <c r="E14" s="82"/>
      <c r="F14" s="83"/>
      <c r="G14" s="83"/>
      <c r="H14" s="82">
        <v>1000</v>
      </c>
      <c r="I14" s="89">
        <v>45823</v>
      </c>
      <c r="J14" s="89"/>
      <c r="K14" s="82"/>
      <c r="L14" s="105"/>
      <c r="M14" s="105"/>
      <c r="N14" s="82">
        <v>50</v>
      </c>
      <c r="O14" s="105">
        <v>45879</v>
      </c>
      <c r="P14" s="105"/>
      <c r="Q14" s="85"/>
      <c r="R14" s="82"/>
      <c r="S14" s="105"/>
      <c r="T14" s="105"/>
      <c r="U14" s="85"/>
      <c r="V14" s="82">
        <v>380</v>
      </c>
      <c r="W14" s="105">
        <v>45942</v>
      </c>
      <c r="X14" s="105"/>
      <c r="Y14" s="90" t="s">
        <v>186</v>
      </c>
      <c r="Z14" s="82"/>
      <c r="AA14" s="105"/>
      <c r="AB14" s="105"/>
      <c r="AC14" s="90"/>
      <c r="AD14" s="82"/>
      <c r="AE14" s="105"/>
      <c r="AF14" s="105"/>
      <c r="AG14" s="90"/>
      <c r="AH14" s="82"/>
      <c r="AI14" s="105"/>
      <c r="AJ14" s="105"/>
      <c r="AK14" s="90"/>
      <c r="AL14" s="82"/>
      <c r="AM14" s="105"/>
      <c r="AN14" s="105"/>
      <c r="AO14" s="90"/>
      <c r="AP14" s="82"/>
      <c r="AQ14" s="105"/>
      <c r="AR14" s="105"/>
      <c r="AS14" s="90"/>
      <c r="AT14" s="114"/>
      <c r="AU14" s="105"/>
      <c r="AV14" s="105"/>
      <c r="AW14" s="90"/>
      <c r="AX14" s="82"/>
      <c r="AY14" s="105"/>
      <c r="AZ14" s="105"/>
      <c r="BA14" s="90"/>
    </row>
    <row r="15" spans="1:53" ht="44.5" customHeight="1">
      <c r="A15" s="94">
        <v>9</v>
      </c>
      <c r="B15" s="95" t="s">
        <v>161</v>
      </c>
      <c r="C15" s="80"/>
      <c r="D15" s="81"/>
      <c r="E15" s="82"/>
      <c r="F15" s="83"/>
      <c r="G15" s="83"/>
      <c r="H15" s="82">
        <v>11500</v>
      </c>
      <c r="I15" s="89">
        <v>45835</v>
      </c>
      <c r="J15" s="89"/>
      <c r="K15" s="82"/>
      <c r="L15" s="105"/>
      <c r="M15" s="105"/>
      <c r="N15" s="82"/>
      <c r="O15" s="105"/>
      <c r="P15" s="105"/>
      <c r="Q15" s="85"/>
      <c r="R15" s="82"/>
      <c r="S15" s="105"/>
      <c r="T15" s="105"/>
      <c r="U15" s="85"/>
      <c r="V15" s="82"/>
      <c r="W15" s="105"/>
      <c r="X15" s="105"/>
      <c r="Y15" s="85"/>
      <c r="Z15" s="82"/>
      <c r="AA15" s="105"/>
      <c r="AB15" s="105"/>
      <c r="AC15" s="85"/>
      <c r="AD15" s="82"/>
      <c r="AE15" s="105"/>
      <c r="AF15" s="105"/>
      <c r="AG15" s="85"/>
      <c r="AH15" s="82"/>
      <c r="AI15" s="105"/>
      <c r="AJ15" s="105"/>
      <c r="AK15" s="85"/>
      <c r="AL15" s="82"/>
      <c r="AM15" s="105"/>
      <c r="AN15" s="105"/>
      <c r="AO15" s="85"/>
      <c r="AP15" s="82"/>
      <c r="AQ15" s="105"/>
      <c r="AR15" s="105"/>
      <c r="AS15" s="85"/>
      <c r="AT15" s="114"/>
      <c r="AU15" s="105"/>
      <c r="AV15" s="105"/>
      <c r="AW15" s="85"/>
      <c r="AX15" s="82"/>
      <c r="AY15" s="105"/>
      <c r="AZ15" s="105"/>
      <c r="BA15" s="85"/>
    </row>
    <row r="16" spans="1:53" ht="44.5" customHeight="1">
      <c r="A16" s="96">
        <v>10</v>
      </c>
      <c r="B16" s="95" t="s">
        <v>162</v>
      </c>
      <c r="C16" s="80"/>
      <c r="D16" s="81"/>
      <c r="E16" s="82"/>
      <c r="F16" s="83"/>
      <c r="G16" s="83"/>
      <c r="H16" s="82"/>
      <c r="I16" s="89"/>
      <c r="J16" s="89"/>
      <c r="K16" s="82">
        <v>1300</v>
      </c>
      <c r="L16" s="105">
        <v>45850</v>
      </c>
      <c r="M16" s="105"/>
      <c r="N16" s="82"/>
      <c r="O16" s="105"/>
      <c r="P16" s="105"/>
      <c r="Q16" s="85"/>
      <c r="R16" s="82"/>
      <c r="S16" s="105"/>
      <c r="T16" s="105"/>
      <c r="U16" s="85"/>
      <c r="V16" s="82"/>
      <c r="W16" s="105"/>
      <c r="X16" s="105"/>
      <c r="Y16" s="85"/>
      <c r="Z16" s="82">
        <v>130</v>
      </c>
      <c r="AA16" s="105" t="s">
        <v>195</v>
      </c>
      <c r="AB16" s="105"/>
      <c r="AC16" s="85" t="s">
        <v>197</v>
      </c>
      <c r="AD16" s="82"/>
      <c r="AE16" s="105"/>
      <c r="AF16" s="105"/>
      <c r="AG16" s="85"/>
      <c r="AH16" s="82"/>
      <c r="AI16" s="105"/>
      <c r="AJ16" s="105"/>
      <c r="AK16" s="85"/>
      <c r="AL16" s="82"/>
      <c r="AM16" s="105"/>
      <c r="AN16" s="105"/>
      <c r="AO16" s="85"/>
      <c r="AP16" s="82"/>
      <c r="AQ16" s="105"/>
      <c r="AR16" s="105"/>
      <c r="AS16" s="85"/>
      <c r="AT16" s="114"/>
      <c r="AU16" s="105"/>
      <c r="AV16" s="105"/>
      <c r="AW16" s="85"/>
      <c r="AX16" s="82"/>
      <c r="AY16" s="105"/>
      <c r="AZ16" s="105"/>
      <c r="BA16" s="85"/>
    </row>
    <row r="17" spans="1:53" ht="44.5" customHeight="1">
      <c r="A17" s="123">
        <v>11</v>
      </c>
      <c r="B17" s="124" t="s">
        <v>163</v>
      </c>
      <c r="C17" s="80"/>
      <c r="D17" s="81"/>
      <c r="E17" s="82"/>
      <c r="F17" s="83"/>
      <c r="G17" s="83"/>
      <c r="H17" s="82">
        <v>95</v>
      </c>
      <c r="I17" s="89">
        <v>45828</v>
      </c>
      <c r="J17" s="89"/>
      <c r="K17" s="82">
        <v>650</v>
      </c>
      <c r="L17" s="105">
        <v>45850</v>
      </c>
      <c r="M17" s="105"/>
      <c r="N17" s="82"/>
      <c r="O17" s="105"/>
      <c r="P17" s="105"/>
      <c r="Q17" s="85"/>
      <c r="R17" s="82"/>
      <c r="S17" s="105"/>
      <c r="T17" s="105"/>
      <c r="U17" s="85"/>
      <c r="V17" s="82"/>
      <c r="W17" s="105"/>
      <c r="X17" s="105"/>
      <c r="Y17" s="85"/>
      <c r="Z17" s="82">
        <v>60</v>
      </c>
      <c r="AA17" s="105" t="s">
        <v>195</v>
      </c>
      <c r="AB17" s="105"/>
      <c r="AC17" s="85" t="s">
        <v>196</v>
      </c>
      <c r="AD17" s="82"/>
      <c r="AE17" s="105"/>
      <c r="AF17" s="105"/>
      <c r="AG17" s="85"/>
      <c r="AH17" s="82"/>
      <c r="AI17" s="105"/>
      <c r="AJ17" s="105"/>
      <c r="AK17" s="85"/>
      <c r="AL17" s="82"/>
      <c r="AM17" s="105"/>
      <c r="AN17" s="105"/>
      <c r="AO17" s="85"/>
      <c r="AP17" s="82">
        <f>2800+650</f>
        <v>3450</v>
      </c>
      <c r="AQ17" s="105"/>
      <c r="AR17" s="105"/>
      <c r="AS17" s="201" t="s">
        <v>231</v>
      </c>
      <c r="AT17" s="114">
        <v>3300</v>
      </c>
      <c r="AU17" s="105">
        <v>46117</v>
      </c>
      <c r="AV17" s="105"/>
      <c r="AW17" s="202" t="s">
        <v>236</v>
      </c>
      <c r="AX17" s="82"/>
      <c r="AY17" s="105"/>
      <c r="AZ17" s="105"/>
      <c r="BA17" s="129"/>
    </row>
    <row r="18" spans="1:53" ht="55.5" customHeight="1">
      <c r="A18" s="125">
        <v>12</v>
      </c>
      <c r="B18" s="133" t="s">
        <v>176</v>
      </c>
      <c r="C18" s="80"/>
      <c r="D18" s="81"/>
      <c r="E18" s="82"/>
      <c r="F18" s="83"/>
      <c r="G18" s="83"/>
      <c r="H18" s="82"/>
      <c r="I18" s="89"/>
      <c r="J18" s="89"/>
      <c r="K18" s="82"/>
      <c r="L18" s="105"/>
      <c r="M18" s="105"/>
      <c r="N18" s="82">
        <v>1537</v>
      </c>
      <c r="O18" s="105"/>
      <c r="P18" s="105"/>
      <c r="Q18" s="90" t="s">
        <v>178</v>
      </c>
      <c r="R18" s="82">
        <v>2000</v>
      </c>
      <c r="S18" s="105"/>
      <c r="T18" s="105"/>
      <c r="U18" s="90" t="s">
        <v>181</v>
      </c>
      <c r="V18" s="82">
        <v>70</v>
      </c>
      <c r="W18" s="105">
        <v>45947</v>
      </c>
      <c r="X18" s="105"/>
      <c r="Y18" s="90" t="s">
        <v>186</v>
      </c>
      <c r="Z18" s="82">
        <v>8500</v>
      </c>
      <c r="AA18" s="105" t="s">
        <v>194</v>
      </c>
      <c r="AB18" s="105"/>
      <c r="AC18" s="90" t="s">
        <v>198</v>
      </c>
      <c r="AD18" s="82">
        <v>1720</v>
      </c>
      <c r="AE18" s="105" t="s">
        <v>208</v>
      </c>
      <c r="AF18" s="105"/>
      <c r="AG18" s="116" t="s">
        <v>215</v>
      </c>
      <c r="AH18" s="82"/>
      <c r="AI18" s="105"/>
      <c r="AJ18" s="105"/>
      <c r="AK18" s="90"/>
      <c r="AL18" s="82">
        <f>21600+8400</f>
        <v>30000</v>
      </c>
      <c r="AM18" s="105">
        <v>46075</v>
      </c>
      <c r="AN18" s="105"/>
      <c r="AO18" s="90" t="s">
        <v>218</v>
      </c>
      <c r="AP18" s="82">
        <v>2070</v>
      </c>
      <c r="AQ18" s="105">
        <v>46089</v>
      </c>
      <c r="AR18" s="105"/>
      <c r="AS18" s="202" t="s">
        <v>232</v>
      </c>
      <c r="AT18" s="114">
        <f>3000+1055</f>
        <v>4055</v>
      </c>
      <c r="AU18" s="105">
        <v>46113</v>
      </c>
      <c r="AV18" s="105"/>
      <c r="AW18" s="202" t="s">
        <v>239</v>
      </c>
      <c r="AX18" s="82"/>
      <c r="AY18" s="105"/>
      <c r="AZ18" s="105"/>
      <c r="BA18" s="129"/>
    </row>
    <row r="19" spans="1:53" ht="55.5" customHeight="1">
      <c r="A19" s="125">
        <v>13</v>
      </c>
      <c r="B19" s="133"/>
      <c r="C19" s="80"/>
      <c r="D19" s="81"/>
      <c r="E19" s="82"/>
      <c r="F19" s="83"/>
      <c r="G19" s="83"/>
      <c r="H19" s="82"/>
      <c r="I19" s="89"/>
      <c r="J19" s="89"/>
      <c r="K19" s="82"/>
      <c r="L19" s="105"/>
      <c r="M19" s="105"/>
      <c r="N19" s="82"/>
      <c r="O19" s="105"/>
      <c r="P19" s="105"/>
      <c r="Q19" s="90"/>
      <c r="R19" s="82"/>
      <c r="S19" s="105"/>
      <c r="T19" s="105"/>
      <c r="U19" s="90"/>
      <c r="V19" s="82"/>
      <c r="W19" s="105"/>
      <c r="X19" s="105"/>
      <c r="Y19" s="90"/>
      <c r="Z19" s="82"/>
      <c r="AA19" s="105"/>
      <c r="AB19" s="105"/>
      <c r="AC19" s="90"/>
      <c r="AD19" s="82"/>
      <c r="AE19" s="105"/>
      <c r="AF19" s="105"/>
      <c r="AG19" s="116"/>
      <c r="AH19" s="82"/>
      <c r="AI19" s="105"/>
      <c r="AJ19" s="105"/>
      <c r="AK19" s="90"/>
      <c r="AL19" s="82">
        <v>680</v>
      </c>
      <c r="AM19" s="105">
        <v>46061</v>
      </c>
      <c r="AN19" s="105"/>
      <c r="AO19" s="90" t="s">
        <v>219</v>
      </c>
      <c r="AP19" s="82">
        <v>800</v>
      </c>
      <c r="AQ19" s="105">
        <v>46096</v>
      </c>
      <c r="AR19" s="105"/>
      <c r="AS19" s="90" t="s">
        <v>226</v>
      </c>
      <c r="AT19" s="82"/>
      <c r="AU19" s="105"/>
      <c r="AV19" s="105"/>
      <c r="AW19" s="90"/>
      <c r="AX19" s="82"/>
      <c r="AY19" s="105"/>
      <c r="AZ19" s="105"/>
      <c r="BA19" s="90"/>
    </row>
    <row r="20" spans="1:53" ht="55.5" customHeight="1">
      <c r="A20" s="125">
        <v>14</v>
      </c>
      <c r="B20" s="126" t="s">
        <v>220</v>
      </c>
      <c r="C20" s="80"/>
      <c r="D20" s="81"/>
      <c r="E20" s="82"/>
      <c r="F20" s="83"/>
      <c r="G20" s="83"/>
      <c r="H20" s="82"/>
      <c r="I20" s="89"/>
      <c r="J20" s="89"/>
      <c r="K20" s="82"/>
      <c r="L20" s="105"/>
      <c r="M20" s="105"/>
      <c r="N20" s="82"/>
      <c r="O20" s="105"/>
      <c r="P20" s="105"/>
      <c r="Q20" s="90"/>
      <c r="R20" s="82"/>
      <c r="S20" s="105"/>
      <c r="T20" s="105"/>
      <c r="U20" s="90"/>
      <c r="V20" s="82"/>
      <c r="W20" s="105"/>
      <c r="X20" s="105"/>
      <c r="Y20" s="90"/>
      <c r="Z20" s="82"/>
      <c r="AA20" s="105"/>
      <c r="AB20" s="105"/>
      <c r="AC20" s="90"/>
      <c r="AD20" s="82"/>
      <c r="AE20" s="105"/>
      <c r="AF20" s="105"/>
      <c r="AG20" s="116"/>
      <c r="AH20" s="82"/>
      <c r="AI20" s="105"/>
      <c r="AJ20" s="105"/>
      <c r="AK20" s="90"/>
      <c r="AL20" s="82">
        <f>2000+800+250+960</f>
        <v>4010</v>
      </c>
      <c r="AM20" s="105">
        <v>46081</v>
      </c>
      <c r="AN20" s="105"/>
      <c r="AO20" s="90" t="s">
        <v>221</v>
      </c>
      <c r="AP20" s="82">
        <v>2277</v>
      </c>
      <c r="AQ20" s="105">
        <v>46090</v>
      </c>
      <c r="AR20" s="105"/>
      <c r="AS20" s="203" t="s">
        <v>233</v>
      </c>
      <c r="AT20" s="82"/>
      <c r="AU20" s="105"/>
      <c r="AV20" s="105"/>
      <c r="AW20" s="130"/>
      <c r="AX20" s="82">
        <f>750+90+480+30+800+1500+1950</f>
        <v>5600</v>
      </c>
      <c r="AY20" s="105"/>
      <c r="AZ20" s="105"/>
      <c r="BA20" s="205" t="s">
        <v>241</v>
      </c>
    </row>
    <row r="21" spans="1:53" ht="44.5" customHeight="1">
      <c r="A21" s="169" t="s">
        <v>3</v>
      </c>
      <c r="B21" s="170"/>
      <c r="C21" s="106">
        <f>SUM(C4:C18)</f>
        <v>0</v>
      </c>
      <c r="D21" s="106"/>
      <c r="E21" s="106">
        <f>SUM(E4:E18)</f>
        <v>23533</v>
      </c>
      <c r="F21" s="106"/>
      <c r="G21" s="106"/>
      <c r="H21" s="106">
        <f>SUM(H4:H18)</f>
        <v>32714</v>
      </c>
      <c r="I21" s="106"/>
      <c r="J21" s="106"/>
      <c r="K21" s="106">
        <f>SUM(K4:K18)</f>
        <v>32385</v>
      </c>
      <c r="L21" s="106"/>
      <c r="M21" s="106"/>
      <c r="N21" s="106">
        <f>SUM(N4:N18)</f>
        <v>29653</v>
      </c>
      <c r="O21" s="106"/>
      <c r="P21" s="106"/>
      <c r="Q21" s="98"/>
      <c r="R21" s="106">
        <f>SUM(R4:R18)</f>
        <v>45523</v>
      </c>
      <c r="S21" s="106"/>
      <c r="T21" s="106"/>
      <c r="U21" s="98"/>
      <c r="V21" s="106">
        <f>SUM(V4:V18)</f>
        <v>41892</v>
      </c>
      <c r="W21" s="106"/>
      <c r="X21" s="106"/>
      <c r="Y21" s="98"/>
      <c r="Z21" s="106">
        <f>SUM(Z4:Z18)</f>
        <v>41396</v>
      </c>
      <c r="AA21" s="106"/>
      <c r="AB21" s="106"/>
      <c r="AC21" s="98"/>
      <c r="AD21" s="106">
        <f>SUM(AD4:AD18)</f>
        <v>56463</v>
      </c>
      <c r="AE21" s="106"/>
      <c r="AF21" s="106"/>
      <c r="AG21" s="98"/>
      <c r="AH21" s="106">
        <f>SUM(AH4:AH18)</f>
        <v>57882</v>
      </c>
      <c r="AI21" s="106"/>
      <c r="AJ21" s="106"/>
      <c r="AK21" s="98"/>
      <c r="AL21" s="106">
        <f>SUM(AL4:AL20)</f>
        <v>76927</v>
      </c>
      <c r="AM21" s="106"/>
      <c r="AN21" s="106"/>
      <c r="AO21" s="98"/>
      <c r="AP21" s="106">
        <f>SUM(AP4:AP20)</f>
        <v>61966</v>
      </c>
      <c r="AQ21" s="106"/>
      <c r="AR21" s="106"/>
      <c r="AS21" s="98"/>
      <c r="AT21" s="106">
        <f>SUM(AT4:AT20)</f>
        <v>48553</v>
      </c>
      <c r="AU21" s="106"/>
      <c r="AV21" s="106"/>
      <c r="AW21" s="98"/>
      <c r="AX21" s="106">
        <f>SUM(AX4:AX20)</f>
        <v>53967</v>
      </c>
      <c r="AY21" s="106"/>
      <c r="AZ21" s="106"/>
      <c r="BA21" s="98"/>
    </row>
    <row r="22" spans="1:53" ht="22.5" customHeight="1">
      <c r="A22" s="171" t="s">
        <v>164</v>
      </c>
      <c r="B22" s="171"/>
      <c r="C22" s="166">
        <f>(C21+E21+H21+K21+N21+R21)</f>
        <v>163808</v>
      </c>
      <c r="D22" s="166"/>
      <c r="E22" s="166"/>
      <c r="F22" s="166"/>
      <c r="G22" s="166"/>
      <c r="H22" s="166"/>
      <c r="I22" s="166"/>
      <c r="J22" s="166"/>
      <c r="K22" s="166"/>
      <c r="L22" s="166"/>
      <c r="M22" s="166"/>
      <c r="N22" s="166"/>
      <c r="O22" s="166"/>
      <c r="P22" s="166"/>
      <c r="Q22" s="166"/>
      <c r="R22" s="166"/>
    </row>
    <row r="23" spans="1:53" ht="23.25" customHeight="1">
      <c r="A23" s="171"/>
      <c r="B23" s="171"/>
      <c r="C23" s="166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</row>
    <row r="24" spans="1:53" ht="32.5" customHeight="1"/>
    <row r="25" spans="1:53" ht="31.5" customHeight="1"/>
    <row r="26" spans="1:53" ht="31.5" customHeight="1"/>
    <row r="27" spans="1:53" ht="29.9" customHeight="1"/>
    <row r="28" spans="1:53" ht="19.5" customHeight="1"/>
    <row r="29" spans="1:53" ht="19.5" customHeight="1"/>
    <row r="30" spans="1:53" ht="19.5" customHeight="1"/>
    <row r="31" spans="1:53" ht="18" customHeight="1"/>
    <row r="32" spans="1:53" ht="28.5" customHeight="1"/>
    <row r="33" ht="31.5" customHeight="1"/>
    <row r="34" ht="31.5" customHeight="1"/>
    <row r="35" ht="32.5" customHeight="1"/>
    <row r="36" ht="21" customHeight="1"/>
    <row r="37" ht="21" customHeight="1"/>
    <row r="38" ht="21" customHeight="1"/>
    <row r="39" ht="21" customHeight="1"/>
    <row r="40" ht="21" customHeight="1"/>
    <row r="41" ht="21" customHeight="1"/>
    <row r="42" ht="21" customHeight="1"/>
    <row r="43" ht="18" customHeight="1"/>
    <row r="44" ht="30.65" customHeight="1"/>
    <row r="56" ht="31" customHeight="1"/>
    <row r="68" ht="28" customHeight="1"/>
    <row r="80" ht="30" customHeight="1"/>
    <row r="92" ht="31.5" customHeight="1"/>
    <row r="104" ht="28" customHeight="1"/>
    <row r="116" ht="31.5" customHeight="1"/>
    <row r="128" ht="32.5" customHeight="1"/>
    <row r="140" ht="28" customHeight="1"/>
    <row r="141" ht="15" customHeight="1"/>
  </sheetData>
  <mergeCells count="36">
    <mergeCell ref="AT2:AW2"/>
    <mergeCell ref="AX2:BA2"/>
    <mergeCell ref="A21:B21"/>
    <mergeCell ref="A22:B23"/>
    <mergeCell ref="Z2:AC2"/>
    <mergeCell ref="AD2:AG2"/>
    <mergeCell ref="AH2:AK2"/>
    <mergeCell ref="J9:J12"/>
    <mergeCell ref="K9:K12"/>
    <mergeCell ref="L9:L12"/>
    <mergeCell ref="M9:M12"/>
    <mergeCell ref="R2:U2"/>
    <mergeCell ref="N2:Q2"/>
    <mergeCell ref="V2:Y2"/>
    <mergeCell ref="E2:G2"/>
    <mergeCell ref="H2:J2"/>
    <mergeCell ref="K2:M2"/>
    <mergeCell ref="C22:R23"/>
    <mergeCell ref="N9:N10"/>
    <mergeCell ref="O9:O10"/>
    <mergeCell ref="AL2:AO2"/>
    <mergeCell ref="AP2:AS2"/>
    <mergeCell ref="B18:B19"/>
    <mergeCell ref="A1:Q1"/>
    <mergeCell ref="A2:A3"/>
    <mergeCell ref="B2:B3"/>
    <mergeCell ref="A9:A12"/>
    <mergeCell ref="B9:B12"/>
    <mergeCell ref="C9:C12"/>
    <mergeCell ref="D9:D12"/>
    <mergeCell ref="E9:E12"/>
    <mergeCell ref="F9:F12"/>
    <mergeCell ref="G9:G12"/>
    <mergeCell ref="H9:H12"/>
    <mergeCell ref="I9:I12"/>
    <mergeCell ref="C2:D2"/>
  </mergeCells>
  <pageMargins left="0.7" right="0.7" top="0.75" bottom="0.75" header="0.3" footer="0.3"/>
  <pageSetup paperSize="9" scale="2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A7D1A-A130-4CF2-8F53-8DE497F18C35}">
  <dimension ref="A1:F18"/>
  <sheetViews>
    <sheetView tabSelected="1" view="pageBreakPreview" topLeftCell="A13" zoomScale="220" zoomScaleNormal="160" zoomScaleSheetLayoutView="220" workbookViewId="0">
      <selection activeCell="F16" sqref="F16"/>
    </sheetView>
  </sheetViews>
  <sheetFormatPr defaultRowHeight="13"/>
  <cols>
    <col min="3" max="3" width="9.5" customWidth="1"/>
    <col min="4" max="4" width="17" customWidth="1"/>
    <col min="5" max="5" width="10" customWidth="1"/>
    <col min="6" max="6" width="10.19921875" customWidth="1"/>
  </cols>
  <sheetData>
    <row r="1" spans="1:6" ht="23">
      <c r="A1" s="97" t="s">
        <v>179</v>
      </c>
    </row>
    <row r="3" spans="1:6" ht="39">
      <c r="A3" s="45" t="s">
        <v>165</v>
      </c>
      <c r="B3" s="45" t="s">
        <v>166</v>
      </c>
      <c r="C3" s="107" t="s">
        <v>168</v>
      </c>
      <c r="D3" s="108" t="s">
        <v>175</v>
      </c>
      <c r="E3" s="109" t="s">
        <v>167</v>
      </c>
      <c r="F3" s="113" t="s">
        <v>180</v>
      </c>
    </row>
    <row r="4" spans="1:6">
      <c r="A4" s="110">
        <v>1</v>
      </c>
      <c r="B4" s="112">
        <v>45748</v>
      </c>
      <c r="C4" s="1">
        <f>'Month wise MC'!C4</f>
        <v>55200</v>
      </c>
      <c r="D4" s="1">
        <f>C4</f>
        <v>55200</v>
      </c>
      <c r="E4" s="1">
        <f>EXPENSES!C21</f>
        <v>0</v>
      </c>
      <c r="F4" s="99">
        <f>C4-E4</f>
        <v>55200</v>
      </c>
    </row>
    <row r="5" spans="1:6">
      <c r="A5" s="110">
        <v>2</v>
      </c>
      <c r="B5" s="112">
        <v>45778</v>
      </c>
      <c r="C5" s="1">
        <f>'Month wise MC'!C5</f>
        <v>55200</v>
      </c>
      <c r="D5" s="1">
        <f t="shared" ref="D5:D12" si="0">C5+F4</f>
        <v>110400</v>
      </c>
      <c r="E5" s="111">
        <f>EXPENSES!E21</f>
        <v>23533</v>
      </c>
      <c r="F5" s="1">
        <f t="shared" ref="F5:F17" si="1">D5-E5</f>
        <v>86867</v>
      </c>
    </row>
    <row r="6" spans="1:6">
      <c r="A6" s="110">
        <v>3</v>
      </c>
      <c r="B6" s="112">
        <v>45809</v>
      </c>
      <c r="C6" s="1">
        <f>'Month wise MC'!C6</f>
        <v>54100</v>
      </c>
      <c r="D6" s="1">
        <f t="shared" si="0"/>
        <v>140967</v>
      </c>
      <c r="E6" s="111">
        <f>EXPENSES!H21</f>
        <v>32714</v>
      </c>
      <c r="F6" s="1">
        <f t="shared" si="1"/>
        <v>108253</v>
      </c>
    </row>
    <row r="7" spans="1:6">
      <c r="A7" s="110">
        <v>4</v>
      </c>
      <c r="B7" s="112">
        <v>45839</v>
      </c>
      <c r="C7" s="1">
        <f>'Month wise MC'!C7</f>
        <v>71300</v>
      </c>
      <c r="D7" s="1">
        <f t="shared" si="0"/>
        <v>179553</v>
      </c>
      <c r="E7" s="111">
        <f>EXPENSES!K21</f>
        <v>32385</v>
      </c>
      <c r="F7" s="1">
        <f t="shared" si="1"/>
        <v>147168</v>
      </c>
    </row>
    <row r="8" spans="1:6">
      <c r="A8" s="110">
        <v>5</v>
      </c>
      <c r="B8" s="112">
        <v>45870</v>
      </c>
      <c r="C8" s="1">
        <f>'Month wise MC'!C8</f>
        <v>57700</v>
      </c>
      <c r="D8" s="1">
        <f t="shared" si="0"/>
        <v>204868</v>
      </c>
      <c r="E8" s="111">
        <f>EXPENSES!N21</f>
        <v>29653</v>
      </c>
      <c r="F8" s="1">
        <f t="shared" si="1"/>
        <v>175215</v>
      </c>
    </row>
    <row r="9" spans="1:6" ht="15" customHeight="1">
      <c r="A9" s="110">
        <v>6</v>
      </c>
      <c r="B9" s="112">
        <v>45901</v>
      </c>
      <c r="C9" s="1">
        <f>'Month wise MC'!C9</f>
        <v>57700</v>
      </c>
      <c r="D9" s="1">
        <f t="shared" si="0"/>
        <v>232915</v>
      </c>
      <c r="E9" s="1">
        <f>EXPENSES!R21</f>
        <v>45523</v>
      </c>
      <c r="F9" s="1">
        <f t="shared" si="1"/>
        <v>187392</v>
      </c>
    </row>
    <row r="10" spans="1:6" ht="15" customHeight="1">
      <c r="A10" s="110">
        <v>7</v>
      </c>
      <c r="B10" s="112">
        <v>45931</v>
      </c>
      <c r="C10" s="1">
        <f>'Month wise MC'!C10</f>
        <v>78900</v>
      </c>
      <c r="D10" s="1">
        <f t="shared" si="0"/>
        <v>266292</v>
      </c>
      <c r="E10" s="1">
        <f>EXPENSES!V21</f>
        <v>41892</v>
      </c>
      <c r="F10" s="1">
        <f t="shared" si="1"/>
        <v>224400</v>
      </c>
    </row>
    <row r="11" spans="1:6" ht="15" customHeight="1">
      <c r="A11" s="110">
        <v>8</v>
      </c>
      <c r="B11" s="112">
        <v>45962</v>
      </c>
      <c r="C11" s="1">
        <f>'Month wise MC'!C11</f>
        <v>68500</v>
      </c>
      <c r="D11" s="1">
        <f t="shared" si="0"/>
        <v>292900</v>
      </c>
      <c r="E11" s="1">
        <f>EXPENSES!Z21</f>
        <v>41396</v>
      </c>
      <c r="F11" s="1">
        <f t="shared" si="1"/>
        <v>251504</v>
      </c>
    </row>
    <row r="12" spans="1:6" ht="15" customHeight="1">
      <c r="A12" s="110">
        <v>9</v>
      </c>
      <c r="B12" s="112">
        <v>45992</v>
      </c>
      <c r="C12" s="1">
        <f>'Month wise MC'!C12</f>
        <v>71000</v>
      </c>
      <c r="D12" s="1">
        <f t="shared" si="0"/>
        <v>322504</v>
      </c>
      <c r="E12" s="1">
        <f>EXPENSES!AD21</f>
        <v>56463</v>
      </c>
      <c r="F12" s="1">
        <f t="shared" si="1"/>
        <v>266041</v>
      </c>
    </row>
    <row r="13" spans="1:6" ht="15" customHeight="1">
      <c r="A13" s="110">
        <v>10</v>
      </c>
      <c r="B13" s="112">
        <v>46023</v>
      </c>
      <c r="C13" s="1">
        <f>'Month wise MC'!C13</f>
        <v>65800</v>
      </c>
      <c r="D13" s="1">
        <f>C13+F12</f>
        <v>331841</v>
      </c>
      <c r="E13" s="1">
        <f>EXPENSES!AH21</f>
        <v>57882</v>
      </c>
      <c r="F13" s="1">
        <f t="shared" si="1"/>
        <v>273959</v>
      </c>
    </row>
    <row r="14" spans="1:6" ht="15" customHeight="1">
      <c r="A14" s="110">
        <v>11</v>
      </c>
      <c r="B14" s="112">
        <v>46054</v>
      </c>
      <c r="C14" s="1">
        <f>'Month wise MC'!C14</f>
        <v>66000</v>
      </c>
      <c r="D14" s="1">
        <f>C14+F13</f>
        <v>339959</v>
      </c>
      <c r="E14" s="1">
        <f>EXPENSES!AL21</f>
        <v>76927</v>
      </c>
      <c r="F14" s="1">
        <f t="shared" si="1"/>
        <v>263032</v>
      </c>
    </row>
    <row r="15" spans="1:6" ht="15" customHeight="1">
      <c r="A15" s="110">
        <v>12</v>
      </c>
      <c r="B15" s="112">
        <v>46082</v>
      </c>
      <c r="C15" s="1">
        <f>'Month wise MC'!C15</f>
        <v>66000</v>
      </c>
      <c r="D15" s="1">
        <f t="shared" ref="D15:D17" si="2">C15+F14</f>
        <v>329032</v>
      </c>
      <c r="E15" s="1">
        <f>EXPENSES!AP21</f>
        <v>61966</v>
      </c>
      <c r="F15" s="1">
        <f t="shared" si="1"/>
        <v>267066</v>
      </c>
    </row>
    <row r="16" spans="1:6" ht="15" customHeight="1">
      <c r="A16" s="110">
        <v>13</v>
      </c>
      <c r="B16" s="112">
        <v>46113</v>
      </c>
      <c r="C16" s="1">
        <f>'Month wise MC'!C16</f>
        <v>66000</v>
      </c>
      <c r="D16" s="1">
        <f t="shared" si="2"/>
        <v>333066</v>
      </c>
      <c r="E16" s="1">
        <f>EXPENSES!AT21</f>
        <v>48553</v>
      </c>
      <c r="F16" s="1">
        <f t="shared" si="1"/>
        <v>284513</v>
      </c>
    </row>
    <row r="17" spans="1:6" ht="15" customHeight="1">
      <c r="A17" s="110">
        <v>14</v>
      </c>
      <c r="B17" s="112">
        <v>46143</v>
      </c>
      <c r="C17" s="1">
        <f>'Month wise MC'!C17</f>
        <v>64800</v>
      </c>
      <c r="D17" s="1">
        <f t="shared" si="2"/>
        <v>349313</v>
      </c>
      <c r="E17" s="1">
        <f>EXPENSES!AX21</f>
        <v>53967</v>
      </c>
      <c r="F17" s="1">
        <f t="shared" si="1"/>
        <v>295346</v>
      </c>
    </row>
    <row r="18" spans="1:6" ht="13" customHeight="1">
      <c r="A18" s="199" t="s">
        <v>3</v>
      </c>
      <c r="B18" s="199"/>
      <c r="C18" s="45">
        <f>SUM(C4:C13)</f>
        <v>635400</v>
      </c>
      <c r="D18" s="45">
        <f>SUM(D4:D17)</f>
        <v>3488810</v>
      </c>
      <c r="E18" s="45">
        <f>SUM(E4:E17)</f>
        <v>602854</v>
      </c>
      <c r="F18" s="121"/>
    </row>
  </sheetData>
  <mergeCells count="1">
    <mergeCell ref="A18:B18"/>
  </mergeCells>
  <phoneticPr fontId="5" type="noConversion"/>
  <pageMargins left="0.7" right="0.7" top="0.75" bottom="0.75" header="0.3" footer="0.3"/>
  <pageSetup paperSize="9" scale="1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Details MC </vt:lpstr>
      <vt:lpstr>Month wise MC</vt:lpstr>
      <vt:lpstr>EXPENSES</vt:lpstr>
      <vt:lpstr>Income and Expenses</vt:lpstr>
      <vt:lpstr>'Details MC '!Print_Area</vt:lpstr>
      <vt:lpstr>EXPENSES!Print_Area</vt:lpstr>
      <vt:lpstr>'Month wise MC'!Print_Area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SABIR AHAMMED</cp:lastModifiedBy>
  <cp:lastPrinted>2026-02-05T15:44:13Z</cp:lastPrinted>
  <dcterms:created xsi:type="dcterms:W3CDTF">2025-06-10T13:00:40Z</dcterms:created>
  <dcterms:modified xsi:type="dcterms:W3CDTF">2026-05-19T16:53:28Z</dcterms:modified>
</cp:coreProperties>
</file>