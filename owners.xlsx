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intApp\"/>
    </mc:Choice>
  </mc:AlternateContent>
  <xr:revisionPtr revIDLastSave="0" documentId="13_ncr:1_{CC02A3D1-5B0C-462C-9313-706801CBAE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s MC " sheetId="1" r:id="rId1"/>
  </sheets>
  <definedNames>
    <definedName name="_xlnm.Print_Area" localSheetId="0">'Details MC '!$A$1:$S$82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1" l="1"/>
  <c r="R14" i="1"/>
  <c r="R11" i="1"/>
  <c r="L9" i="1"/>
  <c r="H79" i="1" l="1"/>
  <c r="J79" i="1"/>
  <c r="L79" i="1"/>
  <c r="N79" i="1"/>
  <c r="P79" i="1"/>
  <c r="R79" i="1"/>
  <c r="T79" i="1"/>
  <c r="V79" i="1"/>
  <c r="X79" i="1"/>
  <c r="Z79" i="1"/>
  <c r="AA79" i="1"/>
  <c r="AB79" i="1"/>
  <c r="AC79" i="1"/>
  <c r="AD79" i="1"/>
  <c r="F79" i="1"/>
  <c r="F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tc={9CC29A30-9507-4B8C-9111-ED98EC4BA602}</author>
    <author>SABIR AHAMMED</author>
  </authors>
  <commentList>
    <comment ref="R7" authorId="0" shapeId="0" xr:uid="{9CC29A30-9507-4B8C-9111-ED98EC4BA602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L9" authorId="1" shapeId="0" xr:uid="{96D11754-0021-41E5-910A-3C0065A8E70F}">
      <text>
        <r>
          <rPr>
            <b/>
            <sz val="9"/>
            <color indexed="81"/>
            <rFont val="Tahoma"/>
            <family val="2"/>
          </rPr>
          <t>SABIR AHAMMED:</t>
        </r>
        <r>
          <rPr>
            <sz val="9"/>
            <color indexed="81"/>
            <rFont val="Tahoma"/>
            <family val="2"/>
          </rPr>
          <t xml:space="preserve">
Builder Paid Electric Bill Due from April to July 2025(17200)
</t>
        </r>
      </text>
    </comment>
  </commentList>
</comments>
</file>

<file path=xl/sharedStrings.xml><?xml version="1.0" encoding="utf-8"?>
<sst xmlns="http://schemas.openxmlformats.org/spreadsheetml/2006/main" count="165" uniqueCount="140">
  <si>
    <t>Dr. Narendranath Pal</t>
  </si>
  <si>
    <t>Sourav Kundu</t>
  </si>
  <si>
    <t>8H</t>
  </si>
  <si>
    <t>Total</t>
  </si>
  <si>
    <t>2nd Floor</t>
  </si>
  <si>
    <t>1st Floor</t>
  </si>
  <si>
    <t>3rd Floor</t>
  </si>
  <si>
    <t>4th Floor</t>
  </si>
  <si>
    <t>5th Floor</t>
  </si>
  <si>
    <t>6th Floor</t>
  </si>
  <si>
    <t>7th Floor</t>
  </si>
  <si>
    <t>8th Floor</t>
  </si>
  <si>
    <t>Sl. No.</t>
  </si>
  <si>
    <t>Name</t>
  </si>
  <si>
    <t>Flat No.</t>
  </si>
  <si>
    <t>Mobile No.</t>
  </si>
  <si>
    <t>REMARKS</t>
  </si>
  <si>
    <t>Collection of Maintainance Charge (Tower-II) (Flat wise)-2025/26</t>
  </si>
  <si>
    <t>Amount</t>
  </si>
  <si>
    <t>Date</t>
  </si>
  <si>
    <t>Deepsikha Office</t>
  </si>
  <si>
    <t xml:space="preserve">All Total </t>
  </si>
  <si>
    <t>ALL Months received Amount</t>
  </si>
  <si>
    <t>Room Type</t>
  </si>
  <si>
    <t>2+3</t>
  </si>
  <si>
    <t>3+2</t>
  </si>
  <si>
    <t>Sishir Singha</t>
  </si>
  <si>
    <t>1A</t>
  </si>
  <si>
    <t>Mrinmoy Choudhuri</t>
  </si>
  <si>
    <t>1B</t>
  </si>
  <si>
    <t>Nibedita Uppadhyay</t>
  </si>
  <si>
    <t>1C</t>
  </si>
  <si>
    <t>1D</t>
  </si>
  <si>
    <t>Arup Kr. Bandapadhya</t>
  </si>
  <si>
    <t>1E</t>
  </si>
  <si>
    <t>Dr. Rajkumar Sangiri</t>
  </si>
  <si>
    <t>1F+1H</t>
  </si>
  <si>
    <t>1G</t>
  </si>
  <si>
    <t>2A+2C</t>
  </si>
  <si>
    <t>Rahul Kundu</t>
  </si>
  <si>
    <t>2B</t>
  </si>
  <si>
    <t>2D</t>
  </si>
  <si>
    <t>Manju Khan</t>
  </si>
  <si>
    <t>2E</t>
  </si>
  <si>
    <t>Madhusudan Dutta</t>
  </si>
  <si>
    <t>2F</t>
  </si>
  <si>
    <t>Amrita Patranabish</t>
  </si>
  <si>
    <t>2G</t>
  </si>
  <si>
    <t>2H</t>
  </si>
  <si>
    <t>Banashree Mishra</t>
  </si>
  <si>
    <t>3A</t>
  </si>
  <si>
    <t>Sudipta Sankar Saren</t>
  </si>
  <si>
    <t>3B</t>
  </si>
  <si>
    <t>Paresh Das</t>
  </si>
  <si>
    <t>3C</t>
  </si>
  <si>
    <t>3D</t>
  </si>
  <si>
    <t>3E</t>
  </si>
  <si>
    <t>Haimanti Goswami</t>
  </si>
  <si>
    <t>3F</t>
  </si>
  <si>
    <t>Sajal Kr. Benarjee</t>
  </si>
  <si>
    <t>3G</t>
  </si>
  <si>
    <t>Bulti Dey</t>
  </si>
  <si>
    <t>3H</t>
  </si>
  <si>
    <t>Mrinmoy Mandal</t>
  </si>
  <si>
    <t>4A</t>
  </si>
  <si>
    <t>Dr. Ajit Kr. Ganguli</t>
  </si>
  <si>
    <t>4B</t>
  </si>
  <si>
    <t>Ardhendu Sinha Mahapatra</t>
  </si>
  <si>
    <t>4C</t>
  </si>
  <si>
    <t>4D</t>
  </si>
  <si>
    <t>Asmita Batabal</t>
  </si>
  <si>
    <t>4E</t>
  </si>
  <si>
    <t>Deepa Haldar</t>
  </si>
  <si>
    <t>4F</t>
  </si>
  <si>
    <t>Goutam Karmakar</t>
  </si>
  <si>
    <t>4G</t>
  </si>
  <si>
    <t>Diptendu Mohanty</t>
  </si>
  <si>
    <t>4H</t>
  </si>
  <si>
    <t>Susanta Kr. Sheet</t>
  </si>
  <si>
    <t>5A</t>
  </si>
  <si>
    <t>5B</t>
  </si>
  <si>
    <t>Ujjal Roy</t>
  </si>
  <si>
    <t>5C</t>
  </si>
  <si>
    <t>Krishna Sinha</t>
  </si>
  <si>
    <t>5D</t>
  </si>
  <si>
    <t>Anita Lo Saha</t>
  </si>
  <si>
    <t>5E+5G</t>
  </si>
  <si>
    <t>Sangita Roy</t>
  </si>
  <si>
    <t>5F</t>
  </si>
  <si>
    <t>Sudipta Das</t>
  </si>
  <si>
    <t>5H</t>
  </si>
  <si>
    <t>Sanjay Sengupta</t>
  </si>
  <si>
    <t>6A</t>
  </si>
  <si>
    <t>Jhuma Mandal</t>
  </si>
  <si>
    <t>6B</t>
  </si>
  <si>
    <t>Shantanu Ganguli</t>
  </si>
  <si>
    <t>6C</t>
  </si>
  <si>
    <t>6D</t>
  </si>
  <si>
    <t>Sutapa Dana</t>
  </si>
  <si>
    <t>6E</t>
  </si>
  <si>
    <t>6F</t>
  </si>
  <si>
    <t>6G</t>
  </si>
  <si>
    <t>6H</t>
  </si>
  <si>
    <t>Dr. Arup Guha</t>
  </si>
  <si>
    <t>7A</t>
  </si>
  <si>
    <t>Manoj Kr. Dutta</t>
  </si>
  <si>
    <t>7B</t>
  </si>
  <si>
    <t>7C</t>
  </si>
  <si>
    <t>7D</t>
  </si>
  <si>
    <t>Sabir Ahammed</t>
  </si>
  <si>
    <t>7E</t>
  </si>
  <si>
    <t>Debasish Paramanik</t>
  </si>
  <si>
    <t>7F</t>
  </si>
  <si>
    <t>Priyanka Bandopadhyaya</t>
  </si>
  <si>
    <t>7G</t>
  </si>
  <si>
    <t>7H</t>
  </si>
  <si>
    <t>8A</t>
  </si>
  <si>
    <t>8B</t>
  </si>
  <si>
    <t>8C</t>
  </si>
  <si>
    <t>8D</t>
  </si>
  <si>
    <t>Sourav Mahanty</t>
  </si>
  <si>
    <t>8E</t>
  </si>
  <si>
    <t>Mantu Das</t>
  </si>
  <si>
    <t>8F</t>
  </si>
  <si>
    <t>Utpal Badyakar</t>
  </si>
  <si>
    <t>8G</t>
  </si>
  <si>
    <r>
      <rPr>
        <sz val="18"/>
        <rFont val="Times New Roman"/>
        <family val="1"/>
      </rPr>
      <t>7858953308
9835066060</t>
    </r>
  </si>
  <si>
    <t>2BHK Rs. 1200 &amp; 3 BHK Rs.1500 w.e.f 0ctober 2025</t>
  </si>
  <si>
    <t>2BHK Rs. 1000 &amp; 3 BHK Rs.1200 w.e.f June 2025</t>
  </si>
  <si>
    <t>2BHK Rs. 1200 &amp; 3 BHK Rs.1200 w.e.f April 2025</t>
  </si>
  <si>
    <t>Mintu Sk</t>
  </si>
  <si>
    <t>Omprakash</t>
  </si>
  <si>
    <t>Deb Kumar Mondal</t>
  </si>
  <si>
    <t>Nabin Chandra Das</t>
  </si>
  <si>
    <t>Shrabanti Sil Dhalla</t>
  </si>
  <si>
    <t>Soumen Patra</t>
  </si>
  <si>
    <t>Registration on 30/6/25</t>
  </si>
  <si>
    <t>Registration on 14/8/25</t>
  </si>
  <si>
    <t>Shanti Da Grill</t>
  </si>
  <si>
    <t xml:space="preserve">Abhishek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</si>
</sst>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20" x14ac:knownFonts="1">
    <font>
      <sz val="10"/>
      <color rgb="FF000000"/>
      <name val="Times New Roman"/>
      <charset val="204"/>
    </font>
    <font>
      <b/>
      <sz val="16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Times New Roman"/>
      <family val="1"/>
    </font>
    <font>
      <b/>
      <sz val="18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0"/>
      <color rgb="FF000000"/>
      <name val="Times New Roman"/>
      <family val="1"/>
    </font>
    <font>
      <sz val="18"/>
      <color rgb="FFFF0000"/>
      <name val="Times New Roman"/>
      <family val="1"/>
    </font>
    <font>
      <sz val="14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4"/>
      <name val="Times New Roman"/>
      <family val="1"/>
    </font>
    <font>
      <b/>
      <sz val="24"/>
      <color rgb="FF000000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6" fontId="7" fillId="0" borderId="4" xfId="0" applyNumberFormat="1" applyFont="1" applyBorder="1" applyAlignment="1">
      <alignment horizontal="center" vertical="top"/>
    </xf>
    <xf numFmtId="16" fontId="7" fillId="0" borderId="5" xfId="0" applyNumberFormat="1" applyFont="1" applyBorder="1" applyAlignment="1">
      <alignment horizontal="center" vertical="top"/>
    </xf>
    <xf numFmtId="164" fontId="7" fillId="3" borderId="1" xfId="0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8" fillId="5" borderId="5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 wrapText="1"/>
    </xf>
    <xf numFmtId="164" fontId="7" fillId="3" borderId="2" xfId="0" applyNumberFormat="1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11" fillId="3" borderId="4" xfId="0" applyFont="1" applyFill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 wrapText="1"/>
    </xf>
    <xf numFmtId="164" fontId="7" fillId="3" borderId="10" xfId="0" applyNumberFormat="1" applyFont="1" applyFill="1" applyBorder="1" applyAlignment="1">
      <alignment horizontal="center" vertical="top" wrapText="1"/>
    </xf>
    <xf numFmtId="0" fontId="8" fillId="3" borderId="11" xfId="0" applyFont="1" applyFill="1" applyBorder="1" applyAlignment="1">
      <alignment horizontal="left" vertical="top" wrapText="1"/>
    </xf>
    <xf numFmtId="0" fontId="8" fillId="3" borderId="12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164" fontId="7" fillId="3" borderId="11" xfId="0" applyNumberFormat="1" applyFont="1" applyFill="1" applyBorder="1" applyAlignment="1">
      <alignment horizontal="center" vertical="top" wrapText="1"/>
    </xf>
    <xf numFmtId="0" fontId="7" fillId="3" borderId="13" xfId="0" applyFont="1" applyFill="1" applyBorder="1" applyAlignment="1">
      <alignment horizontal="center" vertical="top"/>
    </xf>
    <xf numFmtId="0" fontId="9" fillId="3" borderId="13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0" fontId="9" fillId="3" borderId="14" xfId="0" applyFont="1" applyFill="1" applyBorder="1" applyAlignment="1">
      <alignment horizontal="center" vertical="top"/>
    </xf>
    <xf numFmtId="0" fontId="11" fillId="3" borderId="13" xfId="0" applyFont="1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center" vertical="top"/>
    </xf>
    <xf numFmtId="0" fontId="9" fillId="9" borderId="5" xfId="0" applyFont="1" applyFill="1" applyBorder="1" applyAlignment="1">
      <alignment horizontal="center" vertical="top"/>
    </xf>
    <xf numFmtId="14" fontId="13" fillId="0" borderId="4" xfId="0" applyNumberFormat="1" applyFont="1" applyBorder="1" applyAlignment="1">
      <alignment horizontal="center" vertical="center"/>
    </xf>
    <xf numFmtId="0" fontId="7" fillId="10" borderId="0" xfId="0" applyFont="1" applyFill="1" applyAlignment="1">
      <alignment horizontal="center" vertical="top"/>
    </xf>
    <xf numFmtId="0" fontId="9" fillId="10" borderId="0" xfId="0" applyFont="1" applyFill="1" applyAlignment="1">
      <alignment horizontal="center" vertical="top"/>
    </xf>
    <xf numFmtId="0" fontId="11" fillId="10" borderId="4" xfId="0" applyFont="1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top"/>
    </xf>
    <xf numFmtId="16" fontId="7" fillId="0" borderId="14" xfId="0" applyNumberFormat="1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9" fillId="11" borderId="8" xfId="0" applyFont="1" applyFill="1" applyBorder="1" applyAlignment="1">
      <alignment horizontal="center" vertical="center"/>
    </xf>
    <xf numFmtId="17" fontId="10" fillId="6" borderId="4" xfId="0" applyNumberFormat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7" fontId="10" fillId="2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 vertical="top" wrapText="1"/>
    </xf>
    <xf numFmtId="0" fontId="1" fillId="10" borderId="2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horizontal="center" vertical="top" wrapText="1"/>
    </xf>
    <xf numFmtId="0" fontId="1" fillId="10" borderId="9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top"/>
    </xf>
    <xf numFmtId="0" fontId="19" fillId="11" borderId="7" xfId="0" applyFont="1" applyFill="1" applyBorder="1" applyAlignment="1">
      <alignment horizontal="center" vertical="top"/>
    </xf>
    <xf numFmtId="0" fontId="19" fillId="11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R AHAMMED" id="{A2C3AF5E-E5C5-4264-A5BF-9D85F8199F8C}" userId="2999906590db14f6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7" dT="2025-10-07T14:59:28.03" personId="{A2C3AF5E-E5C5-4264-A5BF-9D85F8199F8C}" id="{9CC29A30-9507-4B8C-9111-ED98EC4BA602}">
    <text>Due Rs 200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2"/>
  <sheetViews>
    <sheetView tabSelected="1" view="pageBreakPreview" zoomScale="55" zoomScaleNormal="50" zoomScaleSheetLayoutView="55" workbookViewId="0">
      <pane xSplit="1" topLeftCell="B1" activePane="topRight" state="frozen"/>
      <selection pane="topRight" sqref="A1:Q2"/>
    </sheetView>
  </sheetViews>
  <sheetFormatPr defaultColWidth="9.33203125" defaultRowHeight="12.75" x14ac:dyDescent="0.2"/>
  <cols>
    <col min="1" max="1" width="14.1640625" customWidth="1"/>
    <col min="2" max="2" width="49.33203125" bestFit="1" customWidth="1"/>
    <col min="3" max="3" width="16.1640625" customWidth="1"/>
    <col min="4" max="4" width="20" customWidth="1"/>
    <col min="5" max="5" width="22.5" style="3" customWidth="1"/>
    <col min="6" max="6" width="16.1640625" style="3" customWidth="1"/>
    <col min="7" max="7" width="16.6640625" style="3" customWidth="1"/>
    <col min="8" max="9" width="17.83203125" style="3" customWidth="1"/>
    <col min="10" max="10" width="18" style="3" customWidth="1"/>
    <col min="11" max="11" width="15.6640625" style="3" customWidth="1"/>
    <col min="12" max="12" width="20.1640625" style="3" customWidth="1"/>
    <col min="13" max="13" width="17.1640625" style="3" customWidth="1"/>
    <col min="14" max="14" width="21.33203125" style="3" customWidth="1"/>
    <col min="15" max="15" width="18.5" style="3" customWidth="1"/>
    <col min="16" max="17" width="18" customWidth="1"/>
    <col min="18" max="18" width="17.6640625" customWidth="1"/>
    <col min="19" max="19" width="21.33203125" customWidth="1"/>
    <col min="20" max="21" width="16.83203125" customWidth="1"/>
    <col min="22" max="23" width="17.33203125" customWidth="1"/>
    <col min="24" max="29" width="18.5" customWidth="1"/>
    <col min="30" max="30" width="91.83203125" customWidth="1"/>
    <col min="31" max="31" width="18.5" customWidth="1"/>
    <col min="32" max="32" width="19.1640625" customWidth="1"/>
    <col min="33" max="34" width="18.6640625" customWidth="1"/>
    <col min="35" max="35" width="18.83203125" customWidth="1"/>
  </cols>
  <sheetData>
    <row r="1" spans="1:35" ht="20.100000000000001" customHeight="1" x14ac:dyDescent="0.2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35" ht="20.100000000000001" customHeight="1" x14ac:dyDescent="0.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</row>
    <row r="3" spans="1:35" ht="65.25" customHeight="1" x14ac:dyDescent="0.2">
      <c r="F3" s="95" t="s">
        <v>129</v>
      </c>
      <c r="G3" s="95"/>
      <c r="H3" s="4"/>
      <c r="I3" s="4"/>
      <c r="J3" s="95" t="s">
        <v>128</v>
      </c>
      <c r="K3" s="95"/>
      <c r="L3" s="4"/>
      <c r="M3" s="4"/>
      <c r="N3" s="4"/>
      <c r="O3" s="4"/>
      <c r="P3" s="2"/>
      <c r="Q3" s="2"/>
      <c r="R3" s="95" t="s">
        <v>127</v>
      </c>
      <c r="S3" s="95"/>
      <c r="T3" s="2"/>
      <c r="U3" s="2"/>
      <c r="V3" s="2"/>
      <c r="W3" s="2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</row>
    <row r="4" spans="1:35" ht="44.45" customHeight="1" x14ac:dyDescent="0.2">
      <c r="A4" s="89" t="s">
        <v>5</v>
      </c>
      <c r="B4" s="90"/>
      <c r="C4" s="90"/>
      <c r="D4" s="90"/>
      <c r="E4" s="91"/>
      <c r="F4" s="83">
        <v>45748</v>
      </c>
      <c r="G4" s="84"/>
      <c r="H4" s="85">
        <v>45778</v>
      </c>
      <c r="I4" s="86"/>
      <c r="J4" s="83">
        <v>45809</v>
      </c>
      <c r="K4" s="84"/>
      <c r="L4" s="85">
        <v>45839</v>
      </c>
      <c r="M4" s="86"/>
      <c r="N4" s="83">
        <v>45870</v>
      </c>
      <c r="O4" s="84"/>
      <c r="P4" s="85">
        <v>45901</v>
      </c>
      <c r="Q4" s="86"/>
      <c r="R4" s="83">
        <v>45931</v>
      </c>
      <c r="S4" s="84"/>
      <c r="T4" s="85">
        <v>45962</v>
      </c>
      <c r="U4" s="86"/>
      <c r="V4" s="97">
        <v>45992</v>
      </c>
      <c r="W4" s="98"/>
      <c r="X4" s="97">
        <v>46023</v>
      </c>
      <c r="Y4" s="98"/>
      <c r="Z4" s="97">
        <v>46054</v>
      </c>
      <c r="AA4" s="98"/>
      <c r="AB4" s="97">
        <v>46082</v>
      </c>
      <c r="AC4" s="98"/>
      <c r="AD4" s="10"/>
    </row>
    <row r="5" spans="1:35" s="5" customFormat="1" ht="31.5" customHeight="1" x14ac:dyDescent="0.2">
      <c r="A5" s="30" t="s">
        <v>12</v>
      </c>
      <c r="B5" s="31" t="s">
        <v>13</v>
      </c>
      <c r="C5" s="30" t="s">
        <v>14</v>
      </c>
      <c r="D5" s="32" t="s">
        <v>23</v>
      </c>
      <c r="E5" s="8" t="s">
        <v>15</v>
      </c>
      <c r="F5" s="9" t="s">
        <v>18</v>
      </c>
      <c r="G5" s="9" t="s">
        <v>19</v>
      </c>
      <c r="H5" s="9" t="s">
        <v>18</v>
      </c>
      <c r="I5" s="9" t="s">
        <v>19</v>
      </c>
      <c r="J5" s="9" t="s">
        <v>18</v>
      </c>
      <c r="K5" s="9" t="s">
        <v>19</v>
      </c>
      <c r="L5" s="9" t="s">
        <v>18</v>
      </c>
      <c r="M5" s="9" t="s">
        <v>19</v>
      </c>
      <c r="N5" s="9" t="s">
        <v>18</v>
      </c>
      <c r="O5" s="9" t="s">
        <v>19</v>
      </c>
      <c r="P5" s="9" t="s">
        <v>18</v>
      </c>
      <c r="Q5" s="9" t="s">
        <v>19</v>
      </c>
      <c r="R5" s="9" t="s">
        <v>18</v>
      </c>
      <c r="S5" s="9" t="s">
        <v>19</v>
      </c>
      <c r="T5" s="9" t="s">
        <v>18</v>
      </c>
      <c r="U5" s="9" t="s">
        <v>19</v>
      </c>
      <c r="V5" s="11" t="s">
        <v>18</v>
      </c>
      <c r="W5" s="11" t="s">
        <v>19</v>
      </c>
      <c r="X5" s="11" t="s">
        <v>18</v>
      </c>
      <c r="Y5" s="11" t="s">
        <v>19</v>
      </c>
      <c r="Z5" s="11" t="s">
        <v>18</v>
      </c>
      <c r="AA5" s="11" t="s">
        <v>19</v>
      </c>
      <c r="AB5" s="11" t="s">
        <v>18</v>
      </c>
      <c r="AC5" s="11" t="s">
        <v>19</v>
      </c>
      <c r="AD5" s="11" t="s">
        <v>16</v>
      </c>
    </row>
    <row r="6" spans="1:35" ht="26.25" customHeight="1" x14ac:dyDescent="0.2">
      <c r="A6" s="14">
        <v>1</v>
      </c>
      <c r="B6" s="15" t="s">
        <v>26</v>
      </c>
      <c r="C6" s="16" t="s">
        <v>27</v>
      </c>
      <c r="D6" s="17">
        <v>3</v>
      </c>
      <c r="E6" s="18">
        <v>9609688683</v>
      </c>
      <c r="F6" s="29">
        <v>1200</v>
      </c>
      <c r="G6" s="33">
        <v>45792</v>
      </c>
      <c r="H6" s="29">
        <v>1200</v>
      </c>
      <c r="I6" s="33">
        <v>45823</v>
      </c>
      <c r="J6" s="29">
        <v>1300</v>
      </c>
      <c r="K6" s="33">
        <v>45853</v>
      </c>
      <c r="L6" s="29">
        <v>1300</v>
      </c>
      <c r="M6" s="34">
        <v>45884</v>
      </c>
      <c r="N6" s="51">
        <v>1300</v>
      </c>
      <c r="O6" s="34">
        <v>45915</v>
      </c>
      <c r="P6" s="51">
        <v>1300</v>
      </c>
      <c r="Q6" s="34">
        <v>45945</v>
      </c>
      <c r="R6" s="29">
        <v>1500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5" ht="26.25" customHeight="1" x14ac:dyDescent="0.2">
      <c r="A7" s="14">
        <v>2</v>
      </c>
      <c r="B7" s="15" t="s">
        <v>28</v>
      </c>
      <c r="C7" s="16" t="s">
        <v>29</v>
      </c>
      <c r="D7" s="17">
        <v>3</v>
      </c>
      <c r="E7" s="18">
        <v>7557076444</v>
      </c>
      <c r="F7" s="29">
        <v>1200</v>
      </c>
      <c r="G7" s="33">
        <v>45792</v>
      </c>
      <c r="H7" s="29">
        <v>1200</v>
      </c>
      <c r="I7" s="33">
        <v>45823</v>
      </c>
      <c r="J7" s="29">
        <v>1300</v>
      </c>
      <c r="K7" s="33">
        <v>45853</v>
      </c>
      <c r="L7" s="29">
        <v>1300</v>
      </c>
      <c r="M7" s="34">
        <v>45884</v>
      </c>
      <c r="N7" s="51">
        <v>1300</v>
      </c>
      <c r="O7" s="34">
        <v>45915</v>
      </c>
      <c r="P7" s="51">
        <v>1300</v>
      </c>
      <c r="Q7" s="34">
        <v>45945</v>
      </c>
      <c r="R7" s="29">
        <v>1300</v>
      </c>
      <c r="S7" s="1"/>
      <c r="T7" s="44">
        <v>1300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5" ht="26.25" customHeight="1" x14ac:dyDescent="0.2">
      <c r="A8" s="14">
        <v>3</v>
      </c>
      <c r="B8" s="15" t="s">
        <v>30</v>
      </c>
      <c r="C8" s="16" t="s">
        <v>31</v>
      </c>
      <c r="D8" s="17">
        <v>2</v>
      </c>
      <c r="E8" s="18">
        <v>8001604274</v>
      </c>
      <c r="F8" s="29">
        <v>1200</v>
      </c>
      <c r="G8" s="33">
        <v>45792</v>
      </c>
      <c r="H8" s="29">
        <v>1200</v>
      </c>
      <c r="I8" s="33">
        <v>45823</v>
      </c>
      <c r="J8" s="29">
        <v>1000</v>
      </c>
      <c r="K8" s="33">
        <v>45853</v>
      </c>
      <c r="L8" s="29">
        <v>1000</v>
      </c>
      <c r="M8" s="34">
        <v>45884</v>
      </c>
      <c r="N8" s="29">
        <v>1000</v>
      </c>
      <c r="O8" s="34">
        <v>45915</v>
      </c>
      <c r="P8" s="29">
        <v>1000</v>
      </c>
      <c r="Q8" s="34">
        <v>45945</v>
      </c>
      <c r="R8" s="2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5" ht="26.25" customHeight="1" x14ac:dyDescent="0.2">
      <c r="A9" s="14">
        <v>4</v>
      </c>
      <c r="B9" s="58" t="s">
        <v>20</v>
      </c>
      <c r="C9" s="16" t="s">
        <v>32</v>
      </c>
      <c r="D9" s="17">
        <v>2</v>
      </c>
      <c r="E9" s="21"/>
      <c r="F9" s="29">
        <v>1200</v>
      </c>
      <c r="G9" s="33">
        <v>45792</v>
      </c>
      <c r="H9" s="29">
        <v>1200</v>
      </c>
      <c r="I9" s="33">
        <v>45823</v>
      </c>
      <c r="J9" s="29">
        <v>1000</v>
      </c>
      <c r="K9" s="33">
        <v>45853</v>
      </c>
      <c r="L9" s="29">
        <f>1000+17200</f>
        <v>18200</v>
      </c>
      <c r="M9" s="34">
        <v>45884</v>
      </c>
      <c r="N9" s="51">
        <v>1000</v>
      </c>
      <c r="O9" s="34">
        <v>45915</v>
      </c>
      <c r="P9" s="29">
        <v>1000</v>
      </c>
      <c r="Q9" s="34">
        <v>45945</v>
      </c>
      <c r="R9" s="29">
        <v>1200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5" ht="26.25" customHeight="1" x14ac:dyDescent="0.2">
      <c r="A10" s="14">
        <v>5</v>
      </c>
      <c r="B10" s="15" t="s">
        <v>33</v>
      </c>
      <c r="C10" s="16" t="s">
        <v>34</v>
      </c>
      <c r="D10" s="17">
        <v>3</v>
      </c>
      <c r="E10" s="18">
        <v>9434115212</v>
      </c>
      <c r="F10" s="29">
        <v>1200</v>
      </c>
      <c r="G10" s="33">
        <v>45792</v>
      </c>
      <c r="H10" s="29">
        <v>1200</v>
      </c>
      <c r="I10" s="33">
        <v>45823</v>
      </c>
      <c r="J10" s="29">
        <v>1300</v>
      </c>
      <c r="K10" s="33">
        <v>45853</v>
      </c>
      <c r="L10" s="29">
        <v>1300</v>
      </c>
      <c r="M10" s="34">
        <v>45884</v>
      </c>
      <c r="N10" s="51">
        <v>1300</v>
      </c>
      <c r="O10" s="34">
        <v>45915</v>
      </c>
      <c r="P10" s="29">
        <v>1300</v>
      </c>
      <c r="Q10" s="34">
        <v>45945</v>
      </c>
      <c r="R10" s="29">
        <v>1500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5" ht="26.25" customHeight="1" x14ac:dyDescent="0.2">
      <c r="A11" s="14">
        <v>6</v>
      </c>
      <c r="B11" s="15" t="s">
        <v>35</v>
      </c>
      <c r="C11" s="16" t="s">
        <v>36</v>
      </c>
      <c r="D11" s="17" t="s">
        <v>24</v>
      </c>
      <c r="E11" s="18">
        <v>9474561244</v>
      </c>
      <c r="F11" s="29">
        <v>2400</v>
      </c>
      <c r="G11" s="33">
        <v>45792</v>
      </c>
      <c r="H11" s="29">
        <v>2400</v>
      </c>
      <c r="I11" s="33">
        <v>45823</v>
      </c>
      <c r="J11" s="29">
        <v>2300</v>
      </c>
      <c r="K11" s="33">
        <v>45853</v>
      </c>
      <c r="L11" s="29">
        <v>2300</v>
      </c>
      <c r="M11" s="34">
        <v>45884</v>
      </c>
      <c r="N11" s="51">
        <v>2300</v>
      </c>
      <c r="O11" s="34">
        <v>45915</v>
      </c>
      <c r="P11" s="29">
        <v>2300</v>
      </c>
      <c r="Q11" s="34">
        <v>45945</v>
      </c>
      <c r="R11" s="29">
        <f>1500+1200</f>
        <v>2700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5" ht="26.25" customHeight="1" x14ac:dyDescent="0.2">
      <c r="A12" s="14">
        <v>7</v>
      </c>
      <c r="B12" s="20" t="s">
        <v>1</v>
      </c>
      <c r="C12" s="16" t="s">
        <v>37</v>
      </c>
      <c r="D12" s="17">
        <v>2</v>
      </c>
      <c r="E12" s="21">
        <v>9475044158</v>
      </c>
      <c r="F12" s="29">
        <v>1200</v>
      </c>
      <c r="G12" s="33">
        <v>45792</v>
      </c>
      <c r="H12" s="29">
        <v>1200</v>
      </c>
      <c r="I12" s="33">
        <v>45823</v>
      </c>
      <c r="J12" s="29">
        <v>1000</v>
      </c>
      <c r="K12" s="33">
        <v>45853</v>
      </c>
      <c r="L12" s="29">
        <v>1000</v>
      </c>
      <c r="M12" s="34">
        <v>45884</v>
      </c>
      <c r="N12" s="51">
        <v>1000</v>
      </c>
      <c r="O12" s="34">
        <v>45915</v>
      </c>
      <c r="P12" s="29">
        <v>1000</v>
      </c>
      <c r="Q12" s="34">
        <v>45945</v>
      </c>
      <c r="R12" s="29">
        <v>1200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5" ht="41.25" customHeight="1" x14ac:dyDescent="0.2">
      <c r="A13" s="92" t="s">
        <v>4</v>
      </c>
      <c r="B13" s="93"/>
      <c r="C13" s="93"/>
      <c r="D13" s="93"/>
      <c r="E13" s="94"/>
      <c r="F13" s="74"/>
      <c r="G13" s="74"/>
      <c r="H13" s="74"/>
      <c r="I13" s="74"/>
      <c r="J13" s="75"/>
      <c r="K13" s="74"/>
      <c r="L13" s="75"/>
      <c r="M13" s="74"/>
      <c r="N13" s="75"/>
      <c r="O13" s="74"/>
      <c r="P13" s="76"/>
      <c r="Q13" s="77"/>
      <c r="R13" s="2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5" ht="26.25" customHeight="1" x14ac:dyDescent="0.2">
      <c r="A14" s="14">
        <v>8</v>
      </c>
      <c r="B14" s="15" t="s">
        <v>0</v>
      </c>
      <c r="C14" s="16" t="s">
        <v>38</v>
      </c>
      <c r="D14" s="17" t="s">
        <v>24</v>
      </c>
      <c r="E14" s="18">
        <v>9933111420</v>
      </c>
      <c r="F14" s="29">
        <v>2400</v>
      </c>
      <c r="G14" s="33">
        <v>45792</v>
      </c>
      <c r="H14" s="29">
        <v>2400</v>
      </c>
      <c r="I14" s="33">
        <v>45823</v>
      </c>
      <c r="J14" s="29">
        <v>2300</v>
      </c>
      <c r="K14" s="33">
        <v>45853</v>
      </c>
      <c r="L14" s="29">
        <v>2300</v>
      </c>
      <c r="M14" s="34">
        <v>45884</v>
      </c>
      <c r="N14" s="29">
        <v>2300</v>
      </c>
      <c r="O14" s="34">
        <v>45915</v>
      </c>
      <c r="P14" s="29">
        <v>2300</v>
      </c>
      <c r="Q14" s="34">
        <v>45945</v>
      </c>
      <c r="R14" s="29">
        <f>1500+1200</f>
        <v>2700</v>
      </c>
      <c r="S14" s="1"/>
      <c r="T14" s="29">
        <f>1500+1200</f>
        <v>2700</v>
      </c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5" ht="26.25" customHeight="1" x14ac:dyDescent="0.2">
      <c r="A15" s="14">
        <v>9</v>
      </c>
      <c r="B15" s="15" t="s">
        <v>39</v>
      </c>
      <c r="C15" s="16" t="s">
        <v>40</v>
      </c>
      <c r="D15" s="17">
        <v>3</v>
      </c>
      <c r="E15" s="18">
        <v>9427221065</v>
      </c>
      <c r="F15" s="29">
        <v>1200</v>
      </c>
      <c r="G15" s="33">
        <v>45792</v>
      </c>
      <c r="H15" s="29">
        <v>1200</v>
      </c>
      <c r="I15" s="33">
        <v>45823</v>
      </c>
      <c r="J15" s="29">
        <v>1300</v>
      </c>
      <c r="K15" s="33">
        <v>45853</v>
      </c>
      <c r="L15" s="29">
        <v>1300</v>
      </c>
      <c r="M15" s="34">
        <v>45884</v>
      </c>
      <c r="N15" s="29">
        <v>1300</v>
      </c>
      <c r="O15" s="34">
        <v>45915</v>
      </c>
      <c r="P15" s="29">
        <v>1300</v>
      </c>
      <c r="Q15" s="34">
        <v>45945</v>
      </c>
      <c r="R15" s="29">
        <v>1500</v>
      </c>
      <c r="S15" s="34">
        <v>45915</v>
      </c>
      <c r="T15" s="29">
        <v>1500</v>
      </c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5" s="43" customFormat="1" ht="26.25" hidden="1" customHeight="1" x14ac:dyDescent="0.2">
      <c r="A16" s="35">
        <v>10</v>
      </c>
      <c r="B16" s="36"/>
      <c r="C16" s="37" t="s">
        <v>41</v>
      </c>
      <c r="D16" s="38"/>
      <c r="E16" s="39"/>
      <c r="F16" s="40"/>
      <c r="G16" s="40"/>
      <c r="H16" s="40"/>
      <c r="I16" s="40"/>
      <c r="J16" s="50"/>
      <c r="K16" s="40"/>
      <c r="L16" s="50"/>
      <c r="M16" s="41"/>
      <c r="N16" s="50"/>
      <c r="O16" s="41"/>
      <c r="P16" s="50"/>
      <c r="Q16" s="42"/>
      <c r="R16" s="29"/>
      <c r="S16" s="42"/>
      <c r="T16" s="29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ht="26.25" customHeight="1" x14ac:dyDescent="0.2">
      <c r="A17" s="14">
        <v>11</v>
      </c>
      <c r="B17" s="15" t="s">
        <v>42</v>
      </c>
      <c r="C17" s="16" t="s">
        <v>43</v>
      </c>
      <c r="D17" s="17">
        <v>3</v>
      </c>
      <c r="E17" s="18">
        <v>8962744280</v>
      </c>
      <c r="F17" s="29">
        <v>1200</v>
      </c>
      <c r="G17" s="33">
        <v>45792</v>
      </c>
      <c r="H17" s="29">
        <v>1200</v>
      </c>
      <c r="I17" s="33">
        <v>45823</v>
      </c>
      <c r="J17" s="29">
        <v>1300</v>
      </c>
      <c r="K17" s="33">
        <v>45853</v>
      </c>
      <c r="L17" s="29">
        <v>1300</v>
      </c>
      <c r="M17" s="34">
        <v>45884</v>
      </c>
      <c r="N17" s="29">
        <v>1300</v>
      </c>
      <c r="O17" s="34">
        <v>45915</v>
      </c>
      <c r="P17" s="29">
        <v>1300</v>
      </c>
      <c r="Q17" s="34">
        <v>45945</v>
      </c>
      <c r="R17" s="29">
        <v>1500</v>
      </c>
      <c r="S17" s="1"/>
      <c r="T17" s="29">
        <v>1500</v>
      </c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6.25" customHeight="1" x14ac:dyDescent="0.2">
      <c r="A18" s="14">
        <v>12</v>
      </c>
      <c r="B18" s="15" t="s">
        <v>44</v>
      </c>
      <c r="C18" s="16" t="s">
        <v>45</v>
      </c>
      <c r="D18" s="17">
        <v>3</v>
      </c>
      <c r="E18" s="18">
        <v>9749543529</v>
      </c>
      <c r="F18" s="29">
        <v>1200</v>
      </c>
      <c r="G18" s="33">
        <v>45792</v>
      </c>
      <c r="H18" s="29">
        <v>1200</v>
      </c>
      <c r="I18" s="33">
        <v>45823</v>
      </c>
      <c r="J18" s="29">
        <v>1300</v>
      </c>
      <c r="K18" s="33">
        <v>45853</v>
      </c>
      <c r="L18" s="29">
        <v>1300</v>
      </c>
      <c r="M18" s="34">
        <v>45884</v>
      </c>
      <c r="N18" s="29">
        <v>1300</v>
      </c>
      <c r="O18" s="34">
        <v>45915</v>
      </c>
      <c r="P18" s="29">
        <v>1300</v>
      </c>
      <c r="Q18" s="34">
        <v>45945</v>
      </c>
      <c r="R18" s="29">
        <v>1500</v>
      </c>
      <c r="S18" s="1"/>
      <c r="T18" s="29">
        <v>1500</v>
      </c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6.25" customHeight="1" x14ac:dyDescent="0.2">
      <c r="A19" s="14">
        <v>13</v>
      </c>
      <c r="B19" s="15" t="s">
        <v>46</v>
      </c>
      <c r="C19" s="16" t="s">
        <v>47</v>
      </c>
      <c r="D19" s="17">
        <v>2</v>
      </c>
      <c r="E19" s="18">
        <v>7001420328</v>
      </c>
      <c r="F19" s="29">
        <v>1200</v>
      </c>
      <c r="G19" s="33">
        <v>45792</v>
      </c>
      <c r="H19" s="29">
        <v>1200</v>
      </c>
      <c r="I19" s="33">
        <v>45823</v>
      </c>
      <c r="J19" s="29">
        <v>1000</v>
      </c>
      <c r="K19" s="33">
        <v>45853</v>
      </c>
      <c r="L19" s="29">
        <v>1000</v>
      </c>
      <c r="M19" s="34">
        <v>45884</v>
      </c>
      <c r="N19" s="29">
        <v>1000</v>
      </c>
      <c r="O19" s="34">
        <v>45915</v>
      </c>
      <c r="P19" s="29">
        <v>1000</v>
      </c>
      <c r="Q19" s="34">
        <v>45945</v>
      </c>
      <c r="R19" s="29">
        <v>1200</v>
      </c>
      <c r="S19" s="73">
        <v>45938</v>
      </c>
      <c r="T19" s="29">
        <v>1200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s="43" customFormat="1" ht="26.25" hidden="1" customHeight="1" x14ac:dyDescent="0.2">
      <c r="A20" s="35">
        <v>14</v>
      </c>
      <c r="B20" s="36"/>
      <c r="C20" s="37" t="s">
        <v>48</v>
      </c>
      <c r="D20" s="38"/>
      <c r="E20" s="39"/>
      <c r="F20" s="40"/>
      <c r="G20" s="40"/>
      <c r="H20" s="40"/>
      <c r="I20" s="40"/>
      <c r="J20" s="50"/>
      <c r="K20" s="40"/>
      <c r="L20" s="50"/>
      <c r="M20" s="41"/>
      <c r="N20" s="52"/>
      <c r="O20" s="41"/>
      <c r="P20" s="54"/>
      <c r="Q20" s="42"/>
      <c r="R20" s="29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 ht="37.5" customHeight="1" x14ac:dyDescent="0.2">
      <c r="A21" s="89" t="s">
        <v>6</v>
      </c>
      <c r="B21" s="90"/>
      <c r="C21" s="90"/>
      <c r="D21" s="90"/>
      <c r="E21" s="91"/>
      <c r="F21" s="22"/>
      <c r="G21" s="22"/>
      <c r="H21" s="22"/>
      <c r="I21" s="22"/>
      <c r="J21" s="48"/>
      <c r="K21" s="22"/>
      <c r="L21" s="48"/>
      <c r="M21" s="22"/>
      <c r="N21" s="48"/>
      <c r="O21" s="22"/>
      <c r="P21" s="47"/>
      <c r="Q21" s="1"/>
      <c r="R21" s="2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6.25" customHeight="1" x14ac:dyDescent="0.2">
      <c r="A22" s="14">
        <v>15</v>
      </c>
      <c r="B22" s="15" t="s">
        <v>49</v>
      </c>
      <c r="C22" s="16" t="s">
        <v>50</v>
      </c>
      <c r="D22" s="17">
        <v>3</v>
      </c>
      <c r="E22" s="18">
        <v>8918008545</v>
      </c>
      <c r="F22" s="29">
        <v>1200</v>
      </c>
      <c r="G22" s="33">
        <v>45792</v>
      </c>
      <c r="H22" s="29">
        <v>1200</v>
      </c>
      <c r="I22" s="33">
        <v>45823</v>
      </c>
      <c r="J22" s="29">
        <v>1300</v>
      </c>
      <c r="K22" s="33">
        <v>45853</v>
      </c>
      <c r="L22" s="29">
        <v>1300</v>
      </c>
      <c r="M22" s="34">
        <v>45884</v>
      </c>
      <c r="N22" s="51">
        <v>1300</v>
      </c>
      <c r="O22" s="34">
        <v>45915</v>
      </c>
      <c r="P22" s="51">
        <v>1300</v>
      </c>
      <c r="Q22" s="34">
        <v>45945</v>
      </c>
      <c r="R22" s="2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6.25" customHeight="1" x14ac:dyDescent="0.2">
      <c r="A23" s="14">
        <v>16</v>
      </c>
      <c r="B23" s="15" t="s">
        <v>51</v>
      </c>
      <c r="C23" s="16" t="s">
        <v>52</v>
      </c>
      <c r="D23" s="17">
        <v>3</v>
      </c>
      <c r="E23" s="18">
        <v>8967856644</v>
      </c>
      <c r="F23" s="29">
        <v>1200</v>
      </c>
      <c r="G23" s="33">
        <v>45792</v>
      </c>
      <c r="H23" s="29">
        <v>1200</v>
      </c>
      <c r="I23" s="33">
        <v>45823</v>
      </c>
      <c r="J23" s="29">
        <v>1300</v>
      </c>
      <c r="K23" s="33">
        <v>45853</v>
      </c>
      <c r="L23" s="29">
        <v>1300</v>
      </c>
      <c r="M23" s="34">
        <v>45884</v>
      </c>
      <c r="N23" s="51">
        <v>1300</v>
      </c>
      <c r="O23" s="34">
        <v>45915</v>
      </c>
      <c r="P23" s="51">
        <v>1300</v>
      </c>
      <c r="Q23" s="34">
        <v>45945</v>
      </c>
      <c r="R23" s="29">
        <v>1500</v>
      </c>
      <c r="S23" s="1"/>
      <c r="T23" s="29">
        <v>1500</v>
      </c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6.25" customHeight="1" x14ac:dyDescent="0.2">
      <c r="A24" s="14">
        <v>17</v>
      </c>
      <c r="B24" s="15" t="s">
        <v>53</v>
      </c>
      <c r="C24" s="16" t="s">
        <v>54</v>
      </c>
      <c r="D24" s="17">
        <v>2</v>
      </c>
      <c r="E24" s="18">
        <v>8436193278</v>
      </c>
      <c r="F24" s="29">
        <v>1200</v>
      </c>
      <c r="G24" s="33">
        <v>45792</v>
      </c>
      <c r="H24" s="29">
        <v>1200</v>
      </c>
      <c r="I24" s="33">
        <v>45823</v>
      </c>
      <c r="J24" s="29">
        <v>1000</v>
      </c>
      <c r="K24" s="33">
        <v>45853</v>
      </c>
      <c r="L24" s="29">
        <v>1000</v>
      </c>
      <c r="M24" s="34">
        <v>45884</v>
      </c>
      <c r="N24" s="51">
        <v>1000</v>
      </c>
      <c r="O24" s="34">
        <v>45915</v>
      </c>
      <c r="P24" s="51">
        <v>1000</v>
      </c>
      <c r="Q24" s="34">
        <v>45945</v>
      </c>
      <c r="R24" s="29">
        <v>1200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s="43" customFormat="1" ht="26.25" hidden="1" customHeight="1" x14ac:dyDescent="0.2">
      <c r="A25" s="35">
        <v>18</v>
      </c>
      <c r="B25" s="36"/>
      <c r="C25" s="37" t="s">
        <v>55</v>
      </c>
      <c r="D25" s="38"/>
      <c r="E25" s="39"/>
      <c r="F25" s="40"/>
      <c r="G25" s="40"/>
      <c r="H25" s="40"/>
      <c r="I25" s="40"/>
      <c r="J25" s="50"/>
      <c r="K25" s="40"/>
      <c r="L25" s="50"/>
      <c r="M25" s="41"/>
      <c r="N25" s="52"/>
      <c r="O25" s="41"/>
      <c r="P25" s="54"/>
      <c r="Q25" s="42"/>
      <c r="R25" s="29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43" customFormat="1" ht="26.25" hidden="1" customHeight="1" x14ac:dyDescent="0.2">
      <c r="A26" s="35">
        <v>19</v>
      </c>
      <c r="B26" s="36"/>
      <c r="C26" s="37" t="s">
        <v>56</v>
      </c>
      <c r="D26" s="38"/>
      <c r="E26" s="39"/>
      <c r="F26" s="40"/>
      <c r="G26" s="40"/>
      <c r="H26" s="40"/>
      <c r="I26" s="40"/>
      <c r="J26" s="50"/>
      <c r="K26" s="40"/>
      <c r="L26" s="50"/>
      <c r="M26" s="41"/>
      <c r="N26" s="52"/>
      <c r="O26" s="41"/>
      <c r="P26" s="54"/>
      <c r="Q26" s="42"/>
      <c r="R26" s="29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ht="26.25" customHeight="1" x14ac:dyDescent="0.2">
      <c r="A27" s="14">
        <v>20</v>
      </c>
      <c r="B27" s="15" t="s">
        <v>57</v>
      </c>
      <c r="C27" s="16" t="s">
        <v>58</v>
      </c>
      <c r="D27" s="17">
        <v>3</v>
      </c>
      <c r="E27" s="18">
        <v>9474039781</v>
      </c>
      <c r="F27" s="29">
        <v>1200</v>
      </c>
      <c r="G27" s="33">
        <v>45792</v>
      </c>
      <c r="H27" s="29">
        <v>1200</v>
      </c>
      <c r="I27" s="33">
        <v>45823</v>
      </c>
      <c r="J27" s="29">
        <v>1300</v>
      </c>
      <c r="K27" s="33">
        <v>45853</v>
      </c>
      <c r="L27" s="29">
        <v>1300</v>
      </c>
      <c r="M27" s="34">
        <v>45884</v>
      </c>
      <c r="N27" s="51">
        <v>1300</v>
      </c>
      <c r="O27" s="34">
        <v>45915</v>
      </c>
      <c r="P27" s="51">
        <v>1300</v>
      </c>
      <c r="Q27" s="34">
        <v>45945</v>
      </c>
      <c r="R27" s="29">
        <v>1500</v>
      </c>
      <c r="S27" s="1"/>
      <c r="T27" s="29">
        <v>1500</v>
      </c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6.25" customHeight="1" x14ac:dyDescent="0.2">
      <c r="A28" s="14">
        <v>21</v>
      </c>
      <c r="B28" s="15" t="s">
        <v>59</v>
      </c>
      <c r="C28" s="16" t="s">
        <v>60</v>
      </c>
      <c r="D28" s="17">
        <v>2</v>
      </c>
      <c r="E28" s="18">
        <v>8789747535</v>
      </c>
      <c r="F28" s="29">
        <v>1200</v>
      </c>
      <c r="G28" s="33">
        <v>45792</v>
      </c>
      <c r="H28" s="29">
        <v>1200</v>
      </c>
      <c r="I28" s="33">
        <v>45823</v>
      </c>
      <c r="J28" s="29">
        <v>1000</v>
      </c>
      <c r="K28" s="33">
        <v>45853</v>
      </c>
      <c r="L28" s="29">
        <v>1000</v>
      </c>
      <c r="M28" s="34">
        <v>45884</v>
      </c>
      <c r="N28" s="29">
        <v>1000</v>
      </c>
      <c r="O28" s="34">
        <v>45915</v>
      </c>
      <c r="P28" s="29">
        <v>1000</v>
      </c>
      <c r="Q28" s="34">
        <v>45945</v>
      </c>
      <c r="R28" s="29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6.25" customHeight="1" x14ac:dyDescent="0.2">
      <c r="A29" s="14">
        <v>22</v>
      </c>
      <c r="B29" s="15" t="s">
        <v>61</v>
      </c>
      <c r="C29" s="16" t="s">
        <v>62</v>
      </c>
      <c r="D29" s="17">
        <v>2</v>
      </c>
      <c r="E29" s="18">
        <v>9732006006</v>
      </c>
      <c r="F29" s="29">
        <v>1200</v>
      </c>
      <c r="G29" s="33">
        <v>45792</v>
      </c>
      <c r="H29" s="29">
        <v>1200</v>
      </c>
      <c r="I29" s="33">
        <v>45823</v>
      </c>
      <c r="J29" s="29">
        <v>1000</v>
      </c>
      <c r="K29" s="33">
        <v>45853</v>
      </c>
      <c r="L29" s="29">
        <v>1000</v>
      </c>
      <c r="M29" s="34">
        <v>45884</v>
      </c>
      <c r="N29" s="29">
        <v>1000</v>
      </c>
      <c r="O29" s="34">
        <v>45915</v>
      </c>
      <c r="P29" s="29">
        <v>1000</v>
      </c>
      <c r="Q29" s="34">
        <v>45945</v>
      </c>
      <c r="R29" s="29">
        <v>1200</v>
      </c>
      <c r="S29" s="1"/>
      <c r="T29" s="29">
        <v>1200</v>
      </c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6.25" customHeight="1" x14ac:dyDescent="0.2">
      <c r="A30" s="89" t="s">
        <v>7</v>
      </c>
      <c r="B30" s="90"/>
      <c r="C30" s="90"/>
      <c r="D30" s="90"/>
      <c r="E30" s="91"/>
      <c r="F30" s="22"/>
      <c r="G30" s="22"/>
      <c r="H30" s="22"/>
      <c r="I30" s="22"/>
      <c r="J30" s="48"/>
      <c r="K30" s="22"/>
      <c r="L30" s="48"/>
      <c r="M30" s="22"/>
      <c r="N30" s="48"/>
      <c r="O30" s="22"/>
      <c r="P30" s="47"/>
      <c r="Q30" s="1"/>
      <c r="R30" s="2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6.25" customHeight="1" x14ac:dyDescent="0.2">
      <c r="A31" s="14">
        <v>23</v>
      </c>
      <c r="B31" s="15" t="s">
        <v>63</v>
      </c>
      <c r="C31" s="16" t="s">
        <v>64</v>
      </c>
      <c r="D31" s="17">
        <v>3</v>
      </c>
      <c r="E31" s="18">
        <v>8927777001</v>
      </c>
      <c r="F31" s="29">
        <v>1200</v>
      </c>
      <c r="G31" s="33">
        <v>45792</v>
      </c>
      <c r="H31" s="29">
        <v>1200</v>
      </c>
      <c r="I31" s="33">
        <v>45823</v>
      </c>
      <c r="J31" s="29">
        <v>1300</v>
      </c>
      <c r="K31" s="33">
        <v>45853</v>
      </c>
      <c r="L31" s="29">
        <v>1300</v>
      </c>
      <c r="M31" s="34">
        <v>45884</v>
      </c>
      <c r="N31" s="51">
        <v>1300</v>
      </c>
      <c r="O31" s="34">
        <v>45915</v>
      </c>
      <c r="P31" s="51">
        <v>1300</v>
      </c>
      <c r="Q31" s="34">
        <v>45945</v>
      </c>
      <c r="R31" s="29">
        <v>1500</v>
      </c>
      <c r="S31" s="1"/>
      <c r="T31" s="29">
        <v>1500</v>
      </c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6.25" customHeight="1" x14ac:dyDescent="0.2">
      <c r="A32" s="14">
        <v>24</v>
      </c>
      <c r="B32" s="15" t="s">
        <v>65</v>
      </c>
      <c r="C32" s="16" t="s">
        <v>66</v>
      </c>
      <c r="D32" s="17">
        <v>3</v>
      </c>
      <c r="E32" s="21" t="s">
        <v>126</v>
      </c>
      <c r="F32" s="29">
        <v>1200</v>
      </c>
      <c r="G32" s="33">
        <v>45792</v>
      </c>
      <c r="H32" s="29">
        <v>1200</v>
      </c>
      <c r="I32" s="33">
        <v>45823</v>
      </c>
      <c r="J32" s="29">
        <v>1300</v>
      </c>
      <c r="K32" s="33">
        <v>45853</v>
      </c>
      <c r="L32" s="29">
        <v>1300</v>
      </c>
      <c r="M32" s="34">
        <v>45884</v>
      </c>
      <c r="N32" s="51">
        <v>1300</v>
      </c>
      <c r="O32" s="34">
        <v>45915</v>
      </c>
      <c r="P32" s="51">
        <v>1300</v>
      </c>
      <c r="Q32" s="34">
        <v>45945</v>
      </c>
      <c r="R32" s="29">
        <v>1500</v>
      </c>
      <c r="S32" s="1"/>
      <c r="T32" s="29">
        <v>1500</v>
      </c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6.25" customHeight="1" x14ac:dyDescent="0.2">
      <c r="A33" s="14">
        <v>25</v>
      </c>
      <c r="B33" s="15" t="s">
        <v>67</v>
      </c>
      <c r="C33" s="16" t="s">
        <v>68</v>
      </c>
      <c r="D33" s="17">
        <v>2</v>
      </c>
      <c r="E33" s="18">
        <v>9775033283</v>
      </c>
      <c r="F33" s="29">
        <v>1200</v>
      </c>
      <c r="G33" s="33">
        <v>45792</v>
      </c>
      <c r="H33" s="29">
        <v>1200</v>
      </c>
      <c r="I33" s="33">
        <v>45823</v>
      </c>
      <c r="J33" s="29">
        <v>1000</v>
      </c>
      <c r="K33" s="33">
        <v>45853</v>
      </c>
      <c r="L33" s="29">
        <v>1000</v>
      </c>
      <c r="M33" s="34">
        <v>45884</v>
      </c>
      <c r="N33" s="51">
        <v>1000</v>
      </c>
      <c r="O33" s="34">
        <v>45915</v>
      </c>
      <c r="P33" s="51">
        <v>1000</v>
      </c>
      <c r="Q33" s="34">
        <v>45945</v>
      </c>
      <c r="R33" s="29">
        <v>1200</v>
      </c>
      <c r="S33" s="1"/>
      <c r="T33" s="29">
        <v>1200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s="43" customFormat="1" ht="26.25" hidden="1" customHeight="1" x14ac:dyDescent="0.2">
      <c r="A34" s="35">
        <v>26</v>
      </c>
      <c r="B34" s="36"/>
      <c r="C34" s="37" t="s">
        <v>69</v>
      </c>
      <c r="D34" s="38"/>
      <c r="E34" s="39"/>
      <c r="F34" s="40"/>
      <c r="G34" s="40"/>
      <c r="H34" s="40"/>
      <c r="I34" s="40"/>
      <c r="J34" s="50"/>
      <c r="K34" s="40"/>
      <c r="L34" s="50"/>
      <c r="M34" s="41"/>
      <c r="N34" s="52"/>
      <c r="O34" s="41"/>
      <c r="P34" s="54"/>
      <c r="Q34" s="42"/>
      <c r="R34" s="29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 spans="1:30" ht="26.25" customHeight="1" x14ac:dyDescent="0.2">
      <c r="A35" s="14">
        <v>27</v>
      </c>
      <c r="B35" s="15" t="s">
        <v>70</v>
      </c>
      <c r="C35" s="16" t="s">
        <v>71</v>
      </c>
      <c r="D35" s="17">
        <v>3</v>
      </c>
      <c r="E35" s="18">
        <v>9007993440</v>
      </c>
      <c r="F35" s="29">
        <v>1200</v>
      </c>
      <c r="G35" s="33">
        <v>45792</v>
      </c>
      <c r="H35" s="28">
        <v>1200</v>
      </c>
      <c r="I35" s="33">
        <v>45823</v>
      </c>
      <c r="J35" s="29">
        <v>1300</v>
      </c>
      <c r="K35" s="33">
        <v>45853</v>
      </c>
      <c r="L35" s="29">
        <v>1300</v>
      </c>
      <c r="M35" s="34">
        <v>45884</v>
      </c>
      <c r="N35" s="51">
        <v>1300</v>
      </c>
      <c r="O35" s="34">
        <v>45915</v>
      </c>
      <c r="P35" s="51">
        <v>1300</v>
      </c>
      <c r="Q35" s="34">
        <v>45945</v>
      </c>
      <c r="R35" s="29">
        <v>1500</v>
      </c>
      <c r="S35" s="1"/>
      <c r="T35" s="29">
        <v>1500</v>
      </c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6.25" customHeight="1" x14ac:dyDescent="0.2">
      <c r="A36" s="14">
        <v>28</v>
      </c>
      <c r="B36" s="15" t="s">
        <v>72</v>
      </c>
      <c r="C36" s="16" t="s">
        <v>73</v>
      </c>
      <c r="D36" s="17">
        <v>3</v>
      </c>
      <c r="E36" s="18">
        <v>9851121248</v>
      </c>
      <c r="F36" s="29">
        <v>1200</v>
      </c>
      <c r="G36" s="33">
        <v>45792</v>
      </c>
      <c r="H36" s="28">
        <v>1200</v>
      </c>
      <c r="I36" s="33">
        <v>45823</v>
      </c>
      <c r="J36" s="29">
        <v>1300</v>
      </c>
      <c r="K36" s="33">
        <v>45853</v>
      </c>
      <c r="L36" s="29">
        <v>1300</v>
      </c>
      <c r="M36" s="34">
        <v>45884</v>
      </c>
      <c r="N36" s="51">
        <v>1300</v>
      </c>
      <c r="O36" s="34">
        <v>45915</v>
      </c>
      <c r="P36" s="51">
        <v>1300</v>
      </c>
      <c r="Q36" s="34">
        <v>45945</v>
      </c>
      <c r="R36" s="29">
        <v>1500</v>
      </c>
      <c r="S36" s="1"/>
      <c r="T36" s="29">
        <v>1500</v>
      </c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6.25" customHeight="1" x14ac:dyDescent="0.2">
      <c r="A37" s="14">
        <v>29</v>
      </c>
      <c r="B37" s="15" t="s">
        <v>74</v>
      </c>
      <c r="C37" s="16" t="s">
        <v>75</v>
      </c>
      <c r="D37" s="17">
        <v>2</v>
      </c>
      <c r="E37" s="18">
        <v>7908578532</v>
      </c>
      <c r="F37" s="29">
        <v>1200</v>
      </c>
      <c r="G37" s="33">
        <v>45792</v>
      </c>
      <c r="H37" s="28">
        <v>1200</v>
      </c>
      <c r="I37" s="33">
        <v>45823</v>
      </c>
      <c r="J37" s="29">
        <v>1000</v>
      </c>
      <c r="K37" s="33">
        <v>45853</v>
      </c>
      <c r="L37" s="29">
        <v>1000</v>
      </c>
      <c r="M37" s="34">
        <v>45884</v>
      </c>
      <c r="N37" s="51">
        <v>1000</v>
      </c>
      <c r="O37" s="34">
        <v>45915</v>
      </c>
      <c r="P37" s="51">
        <v>1000</v>
      </c>
      <c r="Q37" s="34">
        <v>45945</v>
      </c>
      <c r="R37" s="29">
        <v>1200</v>
      </c>
      <c r="S37" s="1"/>
      <c r="T37" s="29">
        <v>1200</v>
      </c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26.25" customHeight="1" x14ac:dyDescent="0.2">
      <c r="A38" s="14">
        <v>30</v>
      </c>
      <c r="B38" s="15" t="s">
        <v>76</v>
      </c>
      <c r="C38" s="16" t="s">
        <v>77</v>
      </c>
      <c r="D38" s="17">
        <v>2</v>
      </c>
      <c r="E38" s="18">
        <v>8637853169</v>
      </c>
      <c r="F38" s="29">
        <v>1200</v>
      </c>
      <c r="G38" s="33">
        <v>45792</v>
      </c>
      <c r="H38" s="28">
        <v>1200</v>
      </c>
      <c r="I38" s="33">
        <v>45823</v>
      </c>
      <c r="J38" s="29">
        <v>1000</v>
      </c>
      <c r="K38" s="33">
        <v>45853</v>
      </c>
      <c r="L38" s="29">
        <v>1000</v>
      </c>
      <c r="M38" s="34">
        <v>45884</v>
      </c>
      <c r="N38" s="51">
        <v>1000</v>
      </c>
      <c r="O38" s="34">
        <v>45915</v>
      </c>
      <c r="P38" s="51">
        <v>1000</v>
      </c>
      <c r="Q38" s="34">
        <v>45945</v>
      </c>
      <c r="R38" s="29">
        <v>1200</v>
      </c>
      <c r="S38" s="1"/>
      <c r="T38" s="29">
        <v>1200</v>
      </c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6.25" customHeight="1" x14ac:dyDescent="0.2">
      <c r="A39" s="89" t="s">
        <v>8</v>
      </c>
      <c r="B39" s="90"/>
      <c r="C39" s="90"/>
      <c r="D39" s="90"/>
      <c r="E39" s="91"/>
      <c r="F39" s="19"/>
      <c r="G39" s="22"/>
      <c r="H39" s="49"/>
      <c r="I39" s="22"/>
      <c r="J39" s="48"/>
      <c r="K39" s="22"/>
      <c r="L39" s="48"/>
      <c r="M39" s="22"/>
      <c r="N39" s="48"/>
      <c r="O39" s="22"/>
      <c r="P39" s="47"/>
      <c r="Q39" s="1"/>
      <c r="R39" s="29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6.25" customHeight="1" x14ac:dyDescent="0.2">
      <c r="A40" s="14">
        <v>31</v>
      </c>
      <c r="B40" s="15" t="s">
        <v>78</v>
      </c>
      <c r="C40" s="16" t="s">
        <v>79</v>
      </c>
      <c r="D40" s="17">
        <v>3</v>
      </c>
      <c r="E40" s="18">
        <v>9434101485</v>
      </c>
      <c r="F40" s="29">
        <v>1200</v>
      </c>
      <c r="G40" s="33">
        <v>45792</v>
      </c>
      <c r="H40" s="28">
        <v>1200</v>
      </c>
      <c r="I40" s="33">
        <v>45823</v>
      </c>
      <c r="J40" s="29">
        <v>1300</v>
      </c>
      <c r="K40" s="33">
        <v>45853</v>
      </c>
      <c r="L40" s="29">
        <v>1300</v>
      </c>
      <c r="M40" s="34">
        <v>45884</v>
      </c>
      <c r="N40" s="51">
        <v>1300</v>
      </c>
      <c r="O40" s="34">
        <v>45915</v>
      </c>
      <c r="P40" s="51">
        <v>1300</v>
      </c>
      <c r="Q40" s="34">
        <v>45945</v>
      </c>
      <c r="R40" s="29">
        <v>1500</v>
      </c>
      <c r="S40" s="1"/>
      <c r="T40" s="29">
        <v>1500</v>
      </c>
      <c r="U40" s="1"/>
      <c r="V40" s="29">
        <v>1500</v>
      </c>
      <c r="W40" s="1"/>
      <c r="X40" s="1"/>
      <c r="Y40" s="1"/>
      <c r="Z40" s="1"/>
      <c r="AA40" s="1"/>
      <c r="AB40" s="1"/>
      <c r="AC40" s="1"/>
      <c r="AD40" s="1"/>
    </row>
    <row r="41" spans="1:30" s="43" customFormat="1" ht="41.25" customHeight="1" x14ac:dyDescent="0.2">
      <c r="A41" s="35">
        <v>32</v>
      </c>
      <c r="B41" s="70" t="s">
        <v>135</v>
      </c>
      <c r="C41" s="37" t="s">
        <v>80</v>
      </c>
      <c r="D41" s="38">
        <v>3</v>
      </c>
      <c r="E41" s="39">
        <v>8820411025</v>
      </c>
      <c r="F41" s="100" t="s">
        <v>136</v>
      </c>
      <c r="G41" s="101"/>
      <c r="H41" s="101"/>
      <c r="I41" s="101"/>
      <c r="J41" s="101"/>
      <c r="K41" s="102"/>
      <c r="L41" s="50"/>
      <c r="M41" s="41"/>
      <c r="N41" s="52"/>
      <c r="O41" s="41"/>
      <c r="P41" s="54"/>
      <c r="Q41" s="42"/>
      <c r="R41" s="29">
        <v>1500</v>
      </c>
      <c r="S41" s="1"/>
      <c r="T41" s="29">
        <v>1500</v>
      </c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 ht="26.25" customHeight="1" x14ac:dyDescent="0.2">
      <c r="A42" s="14">
        <v>33</v>
      </c>
      <c r="B42" s="15" t="s">
        <v>81</v>
      </c>
      <c r="C42" s="16" t="s">
        <v>82</v>
      </c>
      <c r="D42" s="17">
        <v>2</v>
      </c>
      <c r="E42" s="18">
        <v>9749449845</v>
      </c>
      <c r="F42" s="29">
        <v>1200</v>
      </c>
      <c r="G42" s="33">
        <v>45792</v>
      </c>
      <c r="H42" s="28">
        <v>1200</v>
      </c>
      <c r="I42" s="33">
        <v>45823</v>
      </c>
      <c r="J42" s="29">
        <v>1000</v>
      </c>
      <c r="K42" s="33">
        <v>45853</v>
      </c>
      <c r="L42" s="29">
        <v>1000</v>
      </c>
      <c r="M42" s="34">
        <v>45884</v>
      </c>
      <c r="N42" s="51">
        <v>1000</v>
      </c>
      <c r="O42" s="34">
        <v>45915</v>
      </c>
      <c r="P42" s="51">
        <v>1000</v>
      </c>
      <c r="Q42" s="34">
        <v>45945</v>
      </c>
      <c r="R42" s="29">
        <v>1200</v>
      </c>
      <c r="S42" s="1"/>
      <c r="T42" s="29">
        <v>1200</v>
      </c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6.25" customHeight="1" x14ac:dyDescent="0.2">
      <c r="A43" s="14">
        <v>34</v>
      </c>
      <c r="B43" s="15" t="s">
        <v>83</v>
      </c>
      <c r="C43" s="16" t="s">
        <v>84</v>
      </c>
      <c r="D43" s="17">
        <v>2</v>
      </c>
      <c r="E43" s="18">
        <v>9735135784</v>
      </c>
      <c r="F43" s="29">
        <v>1200</v>
      </c>
      <c r="G43" s="33">
        <v>45792</v>
      </c>
      <c r="H43" s="28">
        <v>1200</v>
      </c>
      <c r="I43" s="33">
        <v>45823</v>
      </c>
      <c r="J43" s="29">
        <v>1000</v>
      </c>
      <c r="K43" s="33">
        <v>45853</v>
      </c>
      <c r="L43" s="29">
        <v>1000</v>
      </c>
      <c r="M43" s="34">
        <v>45884</v>
      </c>
      <c r="N43" s="51">
        <v>1000</v>
      </c>
      <c r="O43" s="34">
        <v>45915</v>
      </c>
      <c r="P43" s="51">
        <v>1000</v>
      </c>
      <c r="Q43" s="34">
        <v>45945</v>
      </c>
      <c r="R43" s="29">
        <v>1200</v>
      </c>
      <c r="S43" s="1"/>
      <c r="T43" s="29">
        <v>1200</v>
      </c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6.25" customHeight="1" x14ac:dyDescent="0.2">
      <c r="A44" s="14">
        <v>35</v>
      </c>
      <c r="B44" s="15" t="s">
        <v>85</v>
      </c>
      <c r="C44" s="16" t="s">
        <v>86</v>
      </c>
      <c r="D44" s="17" t="s">
        <v>25</v>
      </c>
      <c r="E44" s="18">
        <v>9474567580</v>
      </c>
      <c r="F44" s="78">
        <v>2400</v>
      </c>
      <c r="G44" s="33">
        <v>45792</v>
      </c>
      <c r="H44" s="78">
        <v>2400</v>
      </c>
      <c r="I44" s="33">
        <v>45823</v>
      </c>
      <c r="J44" s="78">
        <v>2300</v>
      </c>
      <c r="K44" s="33">
        <v>45853</v>
      </c>
      <c r="L44" s="78">
        <v>2300</v>
      </c>
      <c r="M44" s="34">
        <v>45884</v>
      </c>
      <c r="N44" s="78">
        <v>2300</v>
      </c>
      <c r="O44" s="34">
        <v>45915</v>
      </c>
      <c r="P44" s="78">
        <v>2300</v>
      </c>
      <c r="Q44" s="34">
        <v>45945</v>
      </c>
      <c r="R44" s="79">
        <v>2700</v>
      </c>
      <c r="S44" s="57"/>
      <c r="T44" s="79">
        <v>2700</v>
      </c>
      <c r="U44" s="1"/>
      <c r="V44" s="79">
        <v>2700</v>
      </c>
      <c r="W44" s="1"/>
      <c r="X44" s="79">
        <v>2700</v>
      </c>
      <c r="Y44" s="1"/>
      <c r="Z44" s="1"/>
      <c r="AA44" s="1"/>
      <c r="AB44" s="1"/>
      <c r="AC44" s="1"/>
      <c r="AD44" s="1"/>
    </row>
    <row r="45" spans="1:30" ht="26.25" customHeight="1" x14ac:dyDescent="0.2">
      <c r="A45" s="14">
        <v>36</v>
      </c>
      <c r="B45" s="15" t="s">
        <v>87</v>
      </c>
      <c r="C45" s="16" t="s">
        <v>88</v>
      </c>
      <c r="D45" s="17">
        <v>3</v>
      </c>
      <c r="E45" s="18">
        <v>9836087162</v>
      </c>
      <c r="F45" s="29">
        <v>1200</v>
      </c>
      <c r="G45" s="33">
        <v>45792</v>
      </c>
      <c r="H45" s="28">
        <v>1200</v>
      </c>
      <c r="I45" s="33">
        <v>45823</v>
      </c>
      <c r="J45" s="29">
        <v>1300</v>
      </c>
      <c r="K45" s="33">
        <v>45853</v>
      </c>
      <c r="L45" s="29">
        <v>1300</v>
      </c>
      <c r="M45" s="34">
        <v>45884</v>
      </c>
      <c r="N45" s="51">
        <v>1300</v>
      </c>
      <c r="O45" s="34">
        <v>45915</v>
      </c>
      <c r="P45" s="51">
        <v>1300</v>
      </c>
      <c r="Q45" s="34">
        <v>45945</v>
      </c>
      <c r="R45" s="29">
        <v>1500</v>
      </c>
      <c r="S45" s="1"/>
      <c r="T45" s="29">
        <v>1500</v>
      </c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26.25" customHeight="1" x14ac:dyDescent="0.2">
      <c r="A46" s="14">
        <v>37</v>
      </c>
      <c r="B46" s="15" t="s">
        <v>89</v>
      </c>
      <c r="C46" s="16" t="s">
        <v>90</v>
      </c>
      <c r="D46" s="17">
        <v>2</v>
      </c>
      <c r="E46" s="18">
        <v>8101850717</v>
      </c>
      <c r="F46" s="29">
        <v>1200</v>
      </c>
      <c r="G46" s="33">
        <v>45792</v>
      </c>
      <c r="H46" s="28">
        <v>1200</v>
      </c>
      <c r="I46" s="33">
        <v>45823</v>
      </c>
      <c r="J46" s="29">
        <v>1000</v>
      </c>
      <c r="K46" s="33">
        <v>45853</v>
      </c>
      <c r="L46" s="29">
        <v>1000</v>
      </c>
      <c r="M46" s="34">
        <v>45884</v>
      </c>
      <c r="N46" s="51">
        <v>1000</v>
      </c>
      <c r="O46" s="34">
        <v>45915</v>
      </c>
      <c r="P46" s="51">
        <v>1000</v>
      </c>
      <c r="Q46" s="34">
        <v>45945</v>
      </c>
      <c r="R46" s="29">
        <v>1200</v>
      </c>
      <c r="S46" s="1"/>
      <c r="T46" s="29">
        <v>1200</v>
      </c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26.25" customHeight="1" x14ac:dyDescent="0.2">
      <c r="A47" s="89" t="s">
        <v>9</v>
      </c>
      <c r="B47" s="90"/>
      <c r="C47" s="90"/>
      <c r="D47" s="90"/>
      <c r="E47" s="91"/>
      <c r="F47" s="22"/>
      <c r="G47" s="22"/>
      <c r="H47" s="22"/>
      <c r="I47" s="22"/>
      <c r="J47" s="48"/>
      <c r="K47" s="22"/>
      <c r="L47" s="48"/>
      <c r="M47" s="34">
        <v>45884</v>
      </c>
      <c r="N47" s="48"/>
      <c r="O47" s="22"/>
      <c r="P47" s="47"/>
      <c r="Q47" s="1"/>
      <c r="R47" s="29"/>
      <c r="S47" s="1"/>
      <c r="T47" s="29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6.25" customHeight="1" x14ac:dyDescent="0.2">
      <c r="A48" s="14">
        <v>38</v>
      </c>
      <c r="B48" s="15" t="s">
        <v>91</v>
      </c>
      <c r="C48" s="16" t="s">
        <v>92</v>
      </c>
      <c r="D48" s="17">
        <v>3</v>
      </c>
      <c r="E48" s="18">
        <v>8318151358</v>
      </c>
      <c r="F48" s="29">
        <v>1200</v>
      </c>
      <c r="G48" s="33">
        <v>45792</v>
      </c>
      <c r="H48" s="29">
        <v>1200</v>
      </c>
      <c r="I48" s="33">
        <v>45823</v>
      </c>
      <c r="J48" s="29">
        <v>1300</v>
      </c>
      <c r="K48" s="33">
        <v>45853</v>
      </c>
      <c r="L48" s="29">
        <v>1300</v>
      </c>
      <c r="M48" s="34">
        <v>45884</v>
      </c>
      <c r="N48" s="51">
        <v>1300</v>
      </c>
      <c r="O48" s="34">
        <v>45915</v>
      </c>
      <c r="P48" s="29">
        <v>1300</v>
      </c>
      <c r="Q48" s="34">
        <v>45945</v>
      </c>
      <c r="R48" s="29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6.25" customHeight="1" x14ac:dyDescent="0.2">
      <c r="A49" s="14">
        <v>39</v>
      </c>
      <c r="B49" s="15" t="s">
        <v>93</v>
      </c>
      <c r="C49" s="16" t="s">
        <v>94</v>
      </c>
      <c r="D49" s="17">
        <v>3</v>
      </c>
      <c r="E49" s="18">
        <v>6296936814</v>
      </c>
      <c r="F49" s="29">
        <v>1200</v>
      </c>
      <c r="G49" s="33">
        <v>45792</v>
      </c>
      <c r="H49" s="29">
        <v>1200</v>
      </c>
      <c r="I49" s="33">
        <v>45823</v>
      </c>
      <c r="J49" s="29">
        <v>1300</v>
      </c>
      <c r="K49" s="33">
        <v>45853</v>
      </c>
      <c r="L49" s="29">
        <v>1300</v>
      </c>
      <c r="M49" s="34">
        <v>45884</v>
      </c>
      <c r="N49" s="29">
        <v>1300</v>
      </c>
      <c r="O49" s="34">
        <v>45915</v>
      </c>
      <c r="P49" s="29">
        <v>1300</v>
      </c>
      <c r="Q49" s="34">
        <v>45945</v>
      </c>
      <c r="R49" s="29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6.25" customHeight="1" x14ac:dyDescent="0.2">
      <c r="A50" s="14">
        <v>40</v>
      </c>
      <c r="B50" s="15" t="s">
        <v>95</v>
      </c>
      <c r="C50" s="16" t="s">
        <v>96</v>
      </c>
      <c r="D50" s="17">
        <v>2</v>
      </c>
      <c r="E50" s="18">
        <v>9531571901</v>
      </c>
      <c r="F50" s="29">
        <v>1200</v>
      </c>
      <c r="G50" s="33">
        <v>45792</v>
      </c>
      <c r="H50" s="29">
        <v>1200</v>
      </c>
      <c r="I50" s="33">
        <v>45823</v>
      </c>
      <c r="J50" s="29">
        <v>1000</v>
      </c>
      <c r="K50" s="33">
        <v>45853</v>
      </c>
      <c r="L50" s="29">
        <v>1000</v>
      </c>
      <c r="M50" s="34">
        <v>45884</v>
      </c>
      <c r="N50" s="51">
        <v>1000</v>
      </c>
      <c r="O50" s="34">
        <v>45915</v>
      </c>
      <c r="P50" s="29">
        <v>1000</v>
      </c>
      <c r="Q50" s="34">
        <v>45945</v>
      </c>
      <c r="R50" s="29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s="43" customFormat="1" ht="26.25" hidden="1" customHeight="1" x14ac:dyDescent="0.2">
      <c r="A51" s="35">
        <v>41</v>
      </c>
      <c r="B51" s="36"/>
      <c r="C51" s="37" t="s">
        <v>97</v>
      </c>
      <c r="D51" s="38"/>
      <c r="E51" s="39"/>
      <c r="F51" s="40"/>
      <c r="G51" s="40"/>
      <c r="H51" s="50"/>
      <c r="I51" s="40"/>
      <c r="J51" s="50"/>
      <c r="K51" s="40"/>
      <c r="L51" s="50"/>
      <c r="M51" s="41"/>
      <c r="N51" s="52"/>
      <c r="O51" s="41"/>
      <c r="P51" s="54"/>
      <c r="Q51" s="42"/>
      <c r="R51" s="29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 spans="1:30" ht="26.25" customHeight="1" x14ac:dyDescent="0.2">
      <c r="A52" s="14">
        <v>42</v>
      </c>
      <c r="B52" s="15" t="s">
        <v>98</v>
      </c>
      <c r="C52" s="16" t="s">
        <v>99</v>
      </c>
      <c r="D52" s="17">
        <v>3</v>
      </c>
      <c r="E52" s="18">
        <v>7680914260</v>
      </c>
      <c r="F52" s="29">
        <v>1200</v>
      </c>
      <c r="G52" s="33">
        <v>45792</v>
      </c>
      <c r="H52" s="29">
        <v>1200</v>
      </c>
      <c r="I52" s="33">
        <v>45823</v>
      </c>
      <c r="J52" s="29">
        <v>1300</v>
      </c>
      <c r="K52" s="33">
        <v>45853</v>
      </c>
      <c r="L52" s="29">
        <v>1300</v>
      </c>
      <c r="M52" s="34">
        <v>45884</v>
      </c>
      <c r="N52" s="51">
        <v>1300</v>
      </c>
      <c r="O52" s="34">
        <v>45915</v>
      </c>
      <c r="P52" s="29">
        <v>1300</v>
      </c>
      <c r="Q52" s="34">
        <v>45945</v>
      </c>
      <c r="R52" s="29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3" customFormat="1" ht="33.75" customHeight="1" x14ac:dyDescent="0.2">
      <c r="A53" s="35">
        <v>43</v>
      </c>
      <c r="B53" s="70" t="s">
        <v>132</v>
      </c>
      <c r="C53" s="37" t="s">
        <v>100</v>
      </c>
      <c r="D53" s="38"/>
      <c r="E53" s="39">
        <v>7044376634</v>
      </c>
      <c r="F53" s="100" t="s">
        <v>136</v>
      </c>
      <c r="G53" s="101"/>
      <c r="H53" s="101"/>
      <c r="I53" s="101"/>
      <c r="J53" s="101"/>
      <c r="K53" s="102"/>
      <c r="L53" s="50"/>
      <c r="M53" s="41"/>
      <c r="N53" s="52"/>
      <c r="O53" s="41"/>
      <c r="P53" s="54"/>
      <c r="Q53" s="42"/>
      <c r="R53" s="29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 spans="1:30" s="43" customFormat="1" ht="33" customHeight="1" x14ac:dyDescent="0.2">
      <c r="A54" s="35">
        <v>44</v>
      </c>
      <c r="B54" s="70" t="s">
        <v>133</v>
      </c>
      <c r="C54" s="37" t="s">
        <v>101</v>
      </c>
      <c r="D54" s="38"/>
      <c r="E54" s="39">
        <v>7908550094</v>
      </c>
      <c r="F54" s="100" t="s">
        <v>136</v>
      </c>
      <c r="G54" s="101"/>
      <c r="H54" s="101"/>
      <c r="I54" s="101"/>
      <c r="J54" s="101"/>
      <c r="K54" s="102"/>
      <c r="L54" s="50"/>
      <c r="M54" s="41"/>
      <c r="N54" s="52"/>
      <c r="O54" s="41"/>
      <c r="P54" s="54"/>
      <c r="Q54" s="42"/>
      <c r="R54" s="29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 spans="1:30" s="43" customFormat="1" ht="26.25" hidden="1" customHeight="1" x14ac:dyDescent="0.2">
      <c r="A55" s="35">
        <v>45</v>
      </c>
      <c r="B55" s="36"/>
      <c r="C55" s="37" t="s">
        <v>102</v>
      </c>
      <c r="D55" s="38"/>
      <c r="E55" s="39"/>
      <c r="F55" s="40"/>
      <c r="G55" s="40"/>
      <c r="H55" s="40"/>
      <c r="I55" s="40"/>
      <c r="J55" s="50"/>
      <c r="K55" s="40"/>
      <c r="L55" s="50"/>
      <c r="M55" s="41"/>
      <c r="N55" s="52"/>
      <c r="O55" s="41"/>
      <c r="P55" s="54"/>
      <c r="Q55" s="42"/>
      <c r="R55" s="29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 spans="1:30" ht="26.25" customHeight="1" x14ac:dyDescent="0.2">
      <c r="A56" s="89" t="s">
        <v>10</v>
      </c>
      <c r="B56" s="90"/>
      <c r="C56" s="90"/>
      <c r="D56" s="90"/>
      <c r="E56" s="91"/>
      <c r="F56" s="22"/>
      <c r="G56" s="22"/>
      <c r="H56" s="22"/>
      <c r="I56" s="22"/>
      <c r="J56" s="48"/>
      <c r="K56" s="22"/>
      <c r="L56" s="48"/>
      <c r="M56" s="22"/>
      <c r="N56" s="48"/>
      <c r="O56" s="22"/>
      <c r="P56" s="47"/>
      <c r="Q56" s="1"/>
      <c r="R56" s="29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6.25" customHeight="1" x14ac:dyDescent="0.2">
      <c r="A57" s="14">
        <v>46</v>
      </c>
      <c r="B57" s="15" t="s">
        <v>103</v>
      </c>
      <c r="C57" s="16" t="s">
        <v>104</v>
      </c>
      <c r="D57" s="17">
        <v>3</v>
      </c>
      <c r="E57" s="18">
        <v>7908182143</v>
      </c>
      <c r="F57" s="29">
        <v>1200</v>
      </c>
      <c r="G57" s="33">
        <v>45792</v>
      </c>
      <c r="H57" s="29">
        <v>1200</v>
      </c>
      <c r="I57" s="33">
        <v>45823</v>
      </c>
      <c r="J57" s="71">
        <v>1300</v>
      </c>
      <c r="K57" s="33">
        <v>45938</v>
      </c>
      <c r="L57" s="71">
        <v>1300</v>
      </c>
      <c r="M57" s="33">
        <v>45938</v>
      </c>
      <c r="N57" s="72">
        <v>1300</v>
      </c>
      <c r="O57" s="33">
        <v>45938</v>
      </c>
      <c r="P57" s="72">
        <v>1300</v>
      </c>
      <c r="Q57" s="33">
        <v>45938</v>
      </c>
      <c r="R57" s="71">
        <v>1500</v>
      </c>
      <c r="S57" s="33">
        <v>45938</v>
      </c>
      <c r="T57" s="56"/>
      <c r="U57" s="56"/>
      <c r="V57" s="1"/>
      <c r="W57" s="1"/>
      <c r="X57" s="1"/>
      <c r="Y57" s="1"/>
      <c r="Z57" s="1"/>
      <c r="AA57" s="1"/>
      <c r="AB57" s="1"/>
      <c r="AC57" s="1"/>
      <c r="AD57" s="1"/>
    </row>
    <row r="58" spans="1:30" ht="26.25" customHeight="1" x14ac:dyDescent="0.2">
      <c r="A58" s="14">
        <v>47</v>
      </c>
      <c r="B58" s="15" t="s">
        <v>105</v>
      </c>
      <c r="C58" s="16" t="s">
        <v>106</v>
      </c>
      <c r="D58" s="17">
        <v>3</v>
      </c>
      <c r="E58" s="18">
        <v>9933918646</v>
      </c>
      <c r="F58" s="29">
        <v>1200</v>
      </c>
      <c r="G58" s="33">
        <v>45792</v>
      </c>
      <c r="H58" s="29">
        <v>1200</v>
      </c>
      <c r="I58" s="33">
        <v>45823</v>
      </c>
      <c r="J58" s="29">
        <v>1300</v>
      </c>
      <c r="K58" s="33">
        <v>45853</v>
      </c>
      <c r="L58" s="29">
        <v>1300</v>
      </c>
      <c r="M58" s="34">
        <v>45884</v>
      </c>
      <c r="N58" s="51">
        <v>1300</v>
      </c>
      <c r="O58" s="34">
        <v>45915</v>
      </c>
      <c r="P58" s="51">
        <v>1300</v>
      </c>
      <c r="Q58" s="34">
        <v>45945</v>
      </c>
      <c r="R58" s="29">
        <v>1500</v>
      </c>
      <c r="S58" s="1"/>
      <c r="T58" s="29">
        <v>1500</v>
      </c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3" customFormat="1" ht="33" customHeight="1" x14ac:dyDescent="0.2">
      <c r="A59" s="35">
        <v>48</v>
      </c>
      <c r="B59" s="70" t="s">
        <v>134</v>
      </c>
      <c r="C59" s="37" t="s">
        <v>107</v>
      </c>
      <c r="D59" s="38"/>
      <c r="E59" s="39">
        <v>9831313288</v>
      </c>
      <c r="F59" s="100" t="s">
        <v>137</v>
      </c>
      <c r="G59" s="101"/>
      <c r="H59" s="101"/>
      <c r="I59" s="101"/>
      <c r="J59" s="101"/>
      <c r="K59" s="101"/>
      <c r="L59" s="101"/>
      <c r="M59" s="101"/>
      <c r="N59" s="101"/>
      <c r="O59" s="102"/>
      <c r="P59" s="52"/>
      <c r="Q59" s="42"/>
      <c r="R59" s="29">
        <v>1200</v>
      </c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 spans="1:30" s="43" customFormat="1" ht="26.25" hidden="1" customHeight="1" x14ac:dyDescent="0.2">
      <c r="A60" s="35">
        <v>49</v>
      </c>
      <c r="B60" s="36"/>
      <c r="C60" s="37" t="s">
        <v>108</v>
      </c>
      <c r="D60" s="38"/>
      <c r="E60" s="39"/>
      <c r="F60" s="40"/>
      <c r="G60" s="40"/>
      <c r="H60" s="50"/>
      <c r="I60" s="40"/>
      <c r="J60" s="50"/>
      <c r="K60" s="40"/>
      <c r="L60" s="50"/>
      <c r="M60" s="41"/>
      <c r="N60" s="52"/>
      <c r="O60" s="41"/>
      <c r="P60" s="52"/>
      <c r="Q60" s="42"/>
      <c r="R60" s="29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 spans="1:30" ht="26.25" customHeight="1" x14ac:dyDescent="0.2">
      <c r="A61" s="14">
        <v>50</v>
      </c>
      <c r="B61" s="15" t="s">
        <v>109</v>
      </c>
      <c r="C61" s="16" t="s">
        <v>110</v>
      </c>
      <c r="D61" s="17">
        <v>3</v>
      </c>
      <c r="E61" s="18">
        <v>9681710268</v>
      </c>
      <c r="F61" s="29">
        <v>1200</v>
      </c>
      <c r="G61" s="33">
        <v>45792</v>
      </c>
      <c r="H61" s="29">
        <v>1200</v>
      </c>
      <c r="I61" s="33">
        <v>45823</v>
      </c>
      <c r="J61" s="29">
        <v>1300</v>
      </c>
      <c r="K61" s="33">
        <v>45853</v>
      </c>
      <c r="L61" s="29">
        <v>1300</v>
      </c>
      <c r="M61" s="34">
        <v>45884</v>
      </c>
      <c r="N61" s="51">
        <v>1300</v>
      </c>
      <c r="O61" s="34">
        <v>45915</v>
      </c>
      <c r="P61" s="51">
        <v>1300</v>
      </c>
      <c r="Q61" s="34">
        <v>45945</v>
      </c>
      <c r="R61" s="29">
        <v>1500</v>
      </c>
      <c r="S61" s="1"/>
      <c r="T61" s="29">
        <v>1500</v>
      </c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6.25" customHeight="1" x14ac:dyDescent="0.2">
      <c r="A62" s="14">
        <v>51</v>
      </c>
      <c r="B62" s="15" t="s">
        <v>111</v>
      </c>
      <c r="C62" s="16" t="s">
        <v>112</v>
      </c>
      <c r="D62" s="17">
        <v>3</v>
      </c>
      <c r="E62" s="18">
        <v>9434216284</v>
      </c>
      <c r="F62" s="29">
        <v>1200</v>
      </c>
      <c r="G62" s="33">
        <v>45792</v>
      </c>
      <c r="H62" s="29">
        <v>1200</v>
      </c>
      <c r="I62" s="33">
        <v>45823</v>
      </c>
      <c r="J62" s="29">
        <v>1300</v>
      </c>
      <c r="K62" s="33">
        <v>45853</v>
      </c>
      <c r="L62" s="29">
        <v>1300</v>
      </c>
      <c r="M62" s="34">
        <v>45884</v>
      </c>
      <c r="N62" s="51">
        <v>1300</v>
      </c>
      <c r="O62" s="34">
        <v>45915</v>
      </c>
      <c r="P62" s="51">
        <v>1300</v>
      </c>
      <c r="Q62" s="34">
        <v>45945</v>
      </c>
      <c r="R62" s="29">
        <v>1500</v>
      </c>
      <c r="S62" s="1"/>
      <c r="T62" s="29">
        <v>1500</v>
      </c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26.25" customHeight="1" x14ac:dyDescent="0.2">
      <c r="A63" s="14">
        <v>52</v>
      </c>
      <c r="B63" s="15" t="s">
        <v>113</v>
      </c>
      <c r="C63" s="16" t="s">
        <v>114</v>
      </c>
      <c r="D63" s="17">
        <v>2</v>
      </c>
      <c r="E63" s="18">
        <v>9458208175</v>
      </c>
      <c r="F63" s="29">
        <v>1200</v>
      </c>
      <c r="G63" s="33">
        <v>45792</v>
      </c>
      <c r="H63" s="29">
        <v>1200</v>
      </c>
      <c r="I63" s="33">
        <v>45823</v>
      </c>
      <c r="J63" s="29">
        <v>1000</v>
      </c>
      <c r="K63" s="33">
        <v>45853</v>
      </c>
      <c r="L63" s="29">
        <v>1000</v>
      </c>
      <c r="M63" s="34">
        <v>45884</v>
      </c>
      <c r="N63" s="51">
        <v>1000</v>
      </c>
      <c r="O63" s="34">
        <v>45915</v>
      </c>
      <c r="P63" s="51">
        <v>1000</v>
      </c>
      <c r="Q63" s="34">
        <v>45945</v>
      </c>
      <c r="R63" s="29">
        <v>1200</v>
      </c>
      <c r="S63" s="1"/>
      <c r="T63" s="29">
        <v>1200</v>
      </c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3" customFormat="1" ht="26.25" hidden="1" customHeight="1" x14ac:dyDescent="0.2">
      <c r="A64" s="35">
        <v>53</v>
      </c>
      <c r="B64" s="36"/>
      <c r="C64" s="37" t="s">
        <v>115</v>
      </c>
      <c r="D64" s="38"/>
      <c r="E64" s="39"/>
      <c r="F64" s="40"/>
      <c r="G64" s="40"/>
      <c r="H64" s="40"/>
      <c r="I64" s="40"/>
      <c r="J64" s="50"/>
      <c r="K64" s="40"/>
      <c r="L64" s="50"/>
      <c r="M64" s="41"/>
      <c r="N64" s="52"/>
      <c r="O64" s="41"/>
      <c r="P64" s="54"/>
      <c r="Q64" s="42"/>
      <c r="R64" s="29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</row>
    <row r="65" spans="1:30" ht="26.25" customHeight="1" x14ac:dyDescent="0.2">
      <c r="A65" s="89" t="s">
        <v>11</v>
      </c>
      <c r="B65" s="90"/>
      <c r="C65" s="90"/>
      <c r="D65" s="90"/>
      <c r="E65" s="91"/>
      <c r="F65" s="22"/>
      <c r="G65" s="22"/>
      <c r="H65" s="22"/>
      <c r="I65" s="22"/>
      <c r="J65" s="48"/>
      <c r="K65" s="22"/>
      <c r="L65" s="48"/>
      <c r="M65" s="22"/>
      <c r="N65" s="48"/>
      <c r="O65" s="22"/>
      <c r="P65" s="47"/>
      <c r="Q65" s="1"/>
      <c r="R65" s="29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3" customFormat="1" ht="26.25" hidden="1" customHeight="1" x14ac:dyDescent="0.2">
      <c r="A66" s="35">
        <v>54</v>
      </c>
      <c r="B66" s="36"/>
      <c r="C66" s="37" t="s">
        <v>116</v>
      </c>
      <c r="D66" s="38"/>
      <c r="E66" s="39"/>
      <c r="F66" s="40"/>
      <c r="G66" s="40"/>
      <c r="H66" s="40"/>
      <c r="I66" s="40"/>
      <c r="J66" s="50"/>
      <c r="K66" s="40"/>
      <c r="L66" s="50"/>
      <c r="M66" s="41"/>
      <c r="N66" s="52"/>
      <c r="O66" s="41"/>
      <c r="P66" s="54"/>
      <c r="Q66" s="42"/>
      <c r="R66" s="29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 spans="1:30" s="43" customFormat="1" ht="26.25" hidden="1" customHeight="1" x14ac:dyDescent="0.2">
      <c r="A67" s="35">
        <v>55</v>
      </c>
      <c r="B67" s="36"/>
      <c r="C67" s="37" t="s">
        <v>117</v>
      </c>
      <c r="D67" s="38"/>
      <c r="E67" s="39"/>
      <c r="F67" s="40"/>
      <c r="G67" s="40"/>
      <c r="H67" s="40"/>
      <c r="I67" s="40"/>
      <c r="J67" s="50"/>
      <c r="K67" s="40"/>
      <c r="L67" s="50"/>
      <c r="M67" s="41"/>
      <c r="N67" s="52"/>
      <c r="O67" s="41"/>
      <c r="P67" s="54"/>
      <c r="Q67" s="42"/>
      <c r="R67" s="29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 spans="1:30" s="43" customFormat="1" ht="26.25" hidden="1" customHeight="1" x14ac:dyDescent="0.2">
      <c r="A68" s="35">
        <v>56</v>
      </c>
      <c r="B68" s="36"/>
      <c r="C68" s="37" t="s">
        <v>118</v>
      </c>
      <c r="D68" s="38"/>
      <c r="E68" s="39"/>
      <c r="F68" s="40"/>
      <c r="G68" s="40"/>
      <c r="H68" s="40"/>
      <c r="I68" s="40"/>
      <c r="J68" s="50"/>
      <c r="K68" s="40"/>
      <c r="L68" s="50"/>
      <c r="M68" s="41"/>
      <c r="N68" s="52"/>
      <c r="O68" s="41"/>
      <c r="P68" s="54"/>
      <c r="Q68" s="42"/>
      <c r="R68" s="29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 spans="1:30" s="43" customFormat="1" ht="26.25" hidden="1" customHeight="1" x14ac:dyDescent="0.2">
      <c r="A69" s="35">
        <v>57</v>
      </c>
      <c r="B69" s="36"/>
      <c r="C69" s="37" t="s">
        <v>119</v>
      </c>
      <c r="D69" s="38"/>
      <c r="E69" s="39"/>
      <c r="F69" s="40"/>
      <c r="G69" s="40"/>
      <c r="H69" s="40"/>
      <c r="I69" s="40"/>
      <c r="J69" s="50"/>
      <c r="K69" s="40"/>
      <c r="L69" s="50"/>
      <c r="M69" s="41"/>
      <c r="N69" s="52"/>
      <c r="O69" s="41"/>
      <c r="P69" s="54"/>
      <c r="Q69" s="42"/>
      <c r="R69" s="29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 spans="1:30" ht="26.25" customHeight="1" x14ac:dyDescent="0.2">
      <c r="A70" s="14">
        <v>58</v>
      </c>
      <c r="B70" s="15" t="s">
        <v>120</v>
      </c>
      <c r="C70" s="16" t="s">
        <v>121</v>
      </c>
      <c r="D70" s="17">
        <v>3</v>
      </c>
      <c r="E70" s="18">
        <v>9681429435</v>
      </c>
      <c r="F70" s="29">
        <v>1200</v>
      </c>
      <c r="G70" s="33">
        <v>45792</v>
      </c>
      <c r="H70" s="19">
        <v>1200</v>
      </c>
      <c r="I70" s="33">
        <v>45823</v>
      </c>
      <c r="J70" s="29">
        <v>1300</v>
      </c>
      <c r="K70" s="19"/>
      <c r="L70" s="29">
        <v>1300</v>
      </c>
      <c r="M70" s="34">
        <v>45884</v>
      </c>
      <c r="N70" s="29">
        <v>1300</v>
      </c>
      <c r="O70" s="34">
        <v>45915</v>
      </c>
      <c r="P70" s="29">
        <v>1300</v>
      </c>
      <c r="Q70" s="34">
        <v>45945</v>
      </c>
      <c r="R70" s="29">
        <v>1500</v>
      </c>
      <c r="S70" s="1"/>
      <c r="T70" s="29">
        <v>1500</v>
      </c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6.25" customHeight="1" x14ac:dyDescent="0.2">
      <c r="A71" s="14">
        <v>59</v>
      </c>
      <c r="B71" s="15" t="s">
        <v>122</v>
      </c>
      <c r="C71" s="16" t="s">
        <v>123</v>
      </c>
      <c r="D71" s="17">
        <v>3</v>
      </c>
      <c r="E71" s="18">
        <v>7908970236</v>
      </c>
      <c r="F71" s="29">
        <v>1200</v>
      </c>
      <c r="G71" s="33">
        <v>45792</v>
      </c>
      <c r="H71" s="19">
        <v>1200</v>
      </c>
      <c r="I71" s="33">
        <v>45823</v>
      </c>
      <c r="J71" s="29">
        <v>1300</v>
      </c>
      <c r="K71" s="19"/>
      <c r="L71" s="29">
        <v>1300</v>
      </c>
      <c r="M71" s="34">
        <v>45884</v>
      </c>
      <c r="N71" s="29">
        <v>1300</v>
      </c>
      <c r="O71" s="34">
        <v>45915</v>
      </c>
      <c r="P71" s="29">
        <v>1300</v>
      </c>
      <c r="Q71" s="34">
        <v>45945</v>
      </c>
      <c r="R71" s="29">
        <v>1500</v>
      </c>
      <c r="S71" s="1"/>
      <c r="T71" s="29">
        <v>1500</v>
      </c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6.25" customHeight="1" x14ac:dyDescent="0.2">
      <c r="A72" s="14">
        <v>60</v>
      </c>
      <c r="B72" s="15" t="s">
        <v>124</v>
      </c>
      <c r="C72" s="16" t="s">
        <v>125</v>
      </c>
      <c r="D72" s="17">
        <v>2</v>
      </c>
      <c r="E72" s="18">
        <v>9046420491</v>
      </c>
      <c r="F72" s="29">
        <v>1200</v>
      </c>
      <c r="G72" s="33">
        <v>45792</v>
      </c>
      <c r="H72" s="19">
        <v>1200</v>
      </c>
      <c r="I72" s="33">
        <v>45823</v>
      </c>
      <c r="J72" s="29">
        <v>1000</v>
      </c>
      <c r="K72" s="19"/>
      <c r="L72" s="29">
        <v>1000</v>
      </c>
      <c r="M72" s="34">
        <v>45884</v>
      </c>
      <c r="N72" s="29">
        <v>1000</v>
      </c>
      <c r="O72" s="34">
        <v>45915</v>
      </c>
      <c r="P72" s="29">
        <v>1000</v>
      </c>
      <c r="Q72" s="34">
        <v>45945</v>
      </c>
      <c r="R72" s="29">
        <v>1200</v>
      </c>
      <c r="S72" s="1"/>
      <c r="T72" s="29">
        <v>1200</v>
      </c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s="43" customFormat="1" ht="26.25" hidden="1" customHeight="1" x14ac:dyDescent="0.2">
      <c r="A73" s="35">
        <v>61</v>
      </c>
      <c r="B73" s="45"/>
      <c r="C73" s="37" t="s">
        <v>2</v>
      </c>
      <c r="D73" s="38"/>
      <c r="E73" s="46"/>
      <c r="F73" s="40"/>
      <c r="G73" s="40"/>
      <c r="H73" s="40"/>
      <c r="I73" s="40"/>
      <c r="J73" s="40"/>
      <c r="K73" s="40"/>
      <c r="L73" s="50"/>
      <c r="M73" s="41"/>
      <c r="N73" s="52"/>
      <c r="O73" s="41"/>
      <c r="P73" s="54"/>
      <c r="Q73" s="42"/>
      <c r="R73" s="29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 spans="1:30" s="43" customFormat="1" ht="26.25" customHeight="1" x14ac:dyDescent="0.2">
      <c r="A74" s="59">
        <v>62</v>
      </c>
      <c r="B74" s="60" t="s">
        <v>130</v>
      </c>
      <c r="C74" s="61"/>
      <c r="D74" s="62"/>
      <c r="E74" s="63"/>
      <c r="F74" s="64"/>
      <c r="G74" s="64"/>
      <c r="H74" s="64"/>
      <c r="I74" s="64"/>
      <c r="J74" s="64"/>
      <c r="K74" s="64"/>
      <c r="L74" s="65"/>
      <c r="M74" s="66"/>
      <c r="N74" s="67"/>
      <c r="O74" s="66"/>
      <c r="P74" s="68"/>
      <c r="Q74" s="69"/>
      <c r="R74" s="29">
        <v>4400</v>
      </c>
      <c r="S74" s="34">
        <v>45940</v>
      </c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42"/>
    </row>
    <row r="75" spans="1:30" s="43" customFormat="1" ht="26.25" customHeight="1" x14ac:dyDescent="0.2">
      <c r="A75" s="35">
        <v>63</v>
      </c>
      <c r="B75" s="60" t="s">
        <v>131</v>
      </c>
      <c r="C75" s="61"/>
      <c r="D75" s="62"/>
      <c r="E75" s="63"/>
      <c r="F75" s="64"/>
      <c r="G75" s="64"/>
      <c r="H75" s="64"/>
      <c r="I75" s="64"/>
      <c r="J75" s="64"/>
      <c r="K75" s="64"/>
      <c r="L75" s="65"/>
      <c r="M75" s="66"/>
      <c r="N75" s="67"/>
      <c r="O75" s="66"/>
      <c r="P75" s="68"/>
      <c r="Q75" s="69"/>
      <c r="R75" s="2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42"/>
    </row>
    <row r="76" spans="1:30" s="43" customFormat="1" ht="26.25" customHeight="1" x14ac:dyDescent="0.2">
      <c r="A76" s="59">
        <v>64</v>
      </c>
      <c r="B76" s="60" t="s">
        <v>138</v>
      </c>
      <c r="C76" s="61"/>
      <c r="D76" s="62"/>
      <c r="E76" s="63"/>
      <c r="F76" s="64"/>
      <c r="G76" s="64"/>
      <c r="H76" s="64"/>
      <c r="I76" s="64"/>
      <c r="J76" s="64"/>
      <c r="K76" s="64"/>
      <c r="L76" s="65"/>
      <c r="M76" s="66"/>
      <c r="N76" s="67"/>
      <c r="O76" s="66"/>
      <c r="P76" s="68"/>
      <c r="Q76" s="69"/>
      <c r="R76" s="29">
        <v>6000</v>
      </c>
      <c r="S76" s="34">
        <v>45940</v>
      </c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42"/>
    </row>
    <row r="77" spans="1:30" s="43" customFormat="1" ht="26.25" customHeight="1" x14ac:dyDescent="0.2">
      <c r="A77" s="59">
        <v>65</v>
      </c>
      <c r="B77" s="60" t="s">
        <v>139</v>
      </c>
      <c r="C77" s="61"/>
      <c r="D77" s="62"/>
      <c r="E77" s="63"/>
      <c r="F77" s="64"/>
      <c r="G77" s="64"/>
      <c r="H77" s="64"/>
      <c r="I77" s="64"/>
      <c r="J77" s="64"/>
      <c r="K77" s="64"/>
      <c r="L77" s="65"/>
      <c r="M77" s="66"/>
      <c r="N77" s="67"/>
      <c r="O77" s="66"/>
      <c r="P77" s="68"/>
      <c r="Q77" s="69"/>
      <c r="R77" s="29"/>
      <c r="S77" s="80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42"/>
    </row>
    <row r="78" spans="1:30" ht="26.45" customHeight="1" x14ac:dyDescent="0.2">
      <c r="A78" s="23"/>
      <c r="B78" s="87" t="s">
        <v>3</v>
      </c>
      <c r="C78" s="88"/>
      <c r="D78" s="24"/>
      <c r="E78" s="25"/>
      <c r="F78" s="26"/>
      <c r="G78" s="26"/>
      <c r="H78" s="26"/>
      <c r="I78" s="26"/>
      <c r="J78" s="26"/>
      <c r="K78" s="26"/>
      <c r="L78" s="26"/>
      <c r="M78" s="27"/>
      <c r="N78" s="53"/>
      <c r="O78" s="27"/>
      <c r="P78" s="55"/>
      <c r="Q78" s="12"/>
      <c r="R78" s="29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"/>
    </row>
    <row r="79" spans="1:30" ht="27" customHeight="1" x14ac:dyDescent="0.2">
      <c r="A79" s="96" t="s">
        <v>21</v>
      </c>
      <c r="B79" s="96"/>
      <c r="C79" s="96"/>
      <c r="D79" s="96"/>
      <c r="E79" s="96"/>
      <c r="F79" s="29">
        <f>SUM(F6:F78)</f>
        <v>55200</v>
      </c>
      <c r="G79" s="29"/>
      <c r="H79" s="29">
        <f t="shared" ref="H79:AD79" si="0">SUM(H6:H78)</f>
        <v>55200</v>
      </c>
      <c r="I79" s="29"/>
      <c r="J79" s="29">
        <f t="shared" si="0"/>
        <v>54100</v>
      </c>
      <c r="K79" s="29"/>
      <c r="L79" s="29">
        <f t="shared" si="0"/>
        <v>71300</v>
      </c>
      <c r="M79" s="29"/>
      <c r="N79" s="29">
        <f t="shared" si="0"/>
        <v>54100</v>
      </c>
      <c r="O79" s="29"/>
      <c r="P79" s="29">
        <f t="shared" si="0"/>
        <v>54100</v>
      </c>
      <c r="Q79" s="13"/>
      <c r="R79" s="29">
        <f t="shared" si="0"/>
        <v>66600</v>
      </c>
      <c r="S79" s="13"/>
      <c r="T79" s="29">
        <f t="shared" si="0"/>
        <v>44200</v>
      </c>
      <c r="U79" s="13"/>
      <c r="V79" s="13">
        <f t="shared" si="0"/>
        <v>4200</v>
      </c>
      <c r="W79" s="13"/>
      <c r="X79" s="13">
        <f t="shared" si="0"/>
        <v>2700</v>
      </c>
      <c r="Y79" s="13"/>
      <c r="Z79" s="13">
        <f t="shared" si="0"/>
        <v>0</v>
      </c>
      <c r="AA79" s="13">
        <f t="shared" si="0"/>
        <v>0</v>
      </c>
      <c r="AB79" s="13">
        <f t="shared" si="0"/>
        <v>0</v>
      </c>
      <c r="AC79" s="13">
        <f t="shared" si="0"/>
        <v>0</v>
      </c>
      <c r="AD79" s="3">
        <f t="shared" si="0"/>
        <v>0</v>
      </c>
    </row>
    <row r="81" spans="1:25" ht="25.5" x14ac:dyDescent="0.2">
      <c r="F81" s="83">
        <v>45748</v>
      </c>
      <c r="G81" s="84"/>
      <c r="H81" s="85">
        <v>45778</v>
      </c>
      <c r="I81" s="86"/>
      <c r="J81" s="83">
        <v>45809</v>
      </c>
      <c r="K81" s="84"/>
      <c r="L81" s="85">
        <v>45839</v>
      </c>
      <c r="M81" s="86"/>
      <c r="N81" s="83">
        <v>45870</v>
      </c>
      <c r="O81" s="84"/>
      <c r="P81" s="85">
        <v>45901</v>
      </c>
      <c r="Q81" s="86"/>
      <c r="R81" s="83">
        <v>45931</v>
      </c>
      <c r="S81" s="84"/>
      <c r="T81" s="85">
        <v>45962</v>
      </c>
      <c r="U81" s="86"/>
      <c r="V81" s="97">
        <v>45992</v>
      </c>
      <c r="W81" s="98"/>
      <c r="X81" s="83">
        <v>46023</v>
      </c>
      <c r="Y81" s="84"/>
    </row>
    <row r="82" spans="1:25" ht="32.450000000000003" customHeight="1" x14ac:dyDescent="0.2">
      <c r="A82" s="82" t="s">
        <v>22</v>
      </c>
      <c r="B82" s="82"/>
      <c r="C82" s="82"/>
      <c r="D82" s="82"/>
      <c r="E82" s="82"/>
      <c r="F82" s="99">
        <f>SUM(F79:AC79)</f>
        <v>461700</v>
      </c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</row>
  </sheetData>
  <mergeCells count="42">
    <mergeCell ref="J3:K3"/>
    <mergeCell ref="F41:K41"/>
    <mergeCell ref="F53:K53"/>
    <mergeCell ref="F54:K54"/>
    <mergeCell ref="F59:O59"/>
    <mergeCell ref="F82:S82"/>
    <mergeCell ref="P81:Q81"/>
    <mergeCell ref="X4:Y4"/>
    <mergeCell ref="Z4:AA4"/>
    <mergeCell ref="AB4:AC4"/>
    <mergeCell ref="X81:Y81"/>
    <mergeCell ref="R81:S81"/>
    <mergeCell ref="T81:U81"/>
    <mergeCell ref="V81:W81"/>
    <mergeCell ref="F81:G81"/>
    <mergeCell ref="H81:I81"/>
    <mergeCell ref="J81:K81"/>
    <mergeCell ref="L81:M81"/>
    <mergeCell ref="N81:O81"/>
    <mergeCell ref="V4:W4"/>
    <mergeCell ref="A39:E39"/>
    <mergeCell ref="T4:U4"/>
    <mergeCell ref="F4:G4"/>
    <mergeCell ref="H4:I4"/>
    <mergeCell ref="J4:K4"/>
    <mergeCell ref="L4:M4"/>
    <mergeCell ref="A1:Q2"/>
    <mergeCell ref="A82:E82"/>
    <mergeCell ref="N4:O4"/>
    <mergeCell ref="P4:Q4"/>
    <mergeCell ref="R4:S4"/>
    <mergeCell ref="B78:C78"/>
    <mergeCell ref="A47:E47"/>
    <mergeCell ref="A56:E56"/>
    <mergeCell ref="A65:E65"/>
    <mergeCell ref="A13:E13"/>
    <mergeCell ref="A21:E21"/>
    <mergeCell ref="A30:E30"/>
    <mergeCell ref="A4:E4"/>
    <mergeCell ref="R3:S3"/>
    <mergeCell ref="F3:G3"/>
    <mergeCell ref="A79:E79"/>
  </mergeCells>
  <phoneticPr fontId="5" type="noConversion"/>
  <pageMargins left="0.7" right="0.7" top="0.75" bottom="0.75" header="0.3" footer="0.3"/>
  <pageSetup paperSize="9" scale="25" orientation="portrait" r:id="rId1"/>
  <colBreaks count="1" manualBreakCount="1">
    <brk id="30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Details MC </vt:lpstr>
      <vt:lpstr>'Details MC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suchandanray@gmail.com</cp:lastModifiedBy>
  <cp:lastPrinted>2025-12-01T14:19:17Z</cp:lastPrinted>
  <dcterms:created xsi:type="dcterms:W3CDTF">2025-06-10T13:00:40Z</dcterms:created>
  <dcterms:modified xsi:type="dcterms:W3CDTF">2026-05-20T11:42:10Z</dcterms:modified>
</cp:coreProperties>
</file>